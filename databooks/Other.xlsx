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tom.walsh\Projects\A-coupled-model-analyses\databooks\"/>
    </mc:Choice>
  </mc:AlternateContent>
  <xr:revisionPtr revIDLastSave="0" documentId="13_ncr:1_{B2D93AF1-70C3-43CD-A0F4-841D526E5002}" xr6:coauthVersionLast="47" xr6:coauthVersionMax="47" xr10:uidLastSave="{00000000-0000-0000-0000-000000000000}"/>
  <bookViews>
    <workbookView xWindow="-14835" yWindow="-16320" windowWidth="29040" windowHeight="15720" firstSheet="7" activeTab="14" xr2:uid="{00000000-000D-0000-FFFF-FFFF00000000}"/>
  </bookViews>
  <sheets>
    <sheet name="Population Definitions" sheetId="1" r:id="rId1"/>
    <sheet name="Antenatal care" sheetId="2" r:id="rId2"/>
    <sheet name="Asphyxia" sheetId="3" r:id="rId3"/>
    <sheet name="Anemia" sheetId="4" r:id="rId4"/>
    <sheet name="Hemorrhage" sheetId="5" r:id="rId5"/>
    <sheet name="Maternal sepsis" sheetId="6" r:id="rId6"/>
    <sheet name="Obstructed labor" sheetId="8" r:id="rId7"/>
    <sheet name="Other neonatal conditions" sheetId="9" r:id="rId8"/>
    <sheet name="Neonatal sepsis" sheetId="10" r:id="rId9"/>
    <sheet name="Preterm" sheetId="11" r:id="rId10"/>
    <sheet name="RDS" sheetId="12" r:id="rId11"/>
    <sheet name="Wasting" sheetId="13" r:id="rId12"/>
    <sheet name="Stunting" sheetId="14" r:id="rId13"/>
    <sheet name="Preeclampsia" sheetId="18" r:id="rId14"/>
    <sheet name="Maternal nutrition" sheetId="19" r:id="rId15"/>
    <sheet name="Stitching" sheetId="15" r:id="rId16"/>
    <sheet name="Interactions" sheetId="16" r:id="rId17"/>
  </sheets>
  <externalReferences>
    <externalReference r:id="rId18"/>
    <externalReference r:id="rId19"/>
    <externalReference r:id="rId20"/>
    <externalReference r:id="rId21"/>
    <externalReference r:id="rId22"/>
    <externalReference r:id="rId23"/>
    <externalReference r:id="rId2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2" l="1"/>
  <c r="H36" i="2"/>
  <c r="G36" i="2"/>
  <c r="E74" i="11"/>
  <c r="E68" i="11"/>
  <c r="E62" i="11"/>
  <c r="E98" i="13" l="1"/>
  <c r="E95" i="13"/>
  <c r="E92" i="13"/>
  <c r="E77" i="13"/>
  <c r="H809" i="16"/>
  <c r="C809" i="16"/>
  <c r="B809" i="16"/>
  <c r="A809" i="16"/>
  <c r="A806" i="16"/>
  <c r="B805" i="16"/>
  <c r="H800" i="16"/>
  <c r="C800" i="16"/>
  <c r="B800" i="16"/>
  <c r="A800" i="16"/>
  <c r="A797" i="16"/>
  <c r="B796" i="16"/>
  <c r="H791" i="16"/>
  <c r="C791" i="16"/>
  <c r="B791" i="16"/>
  <c r="A791" i="16"/>
  <c r="A788" i="16"/>
  <c r="B787" i="16"/>
  <c r="H782" i="16"/>
  <c r="C782" i="16"/>
  <c r="B782" i="16"/>
  <c r="A782" i="16"/>
  <c r="A779" i="16"/>
  <c r="B778" i="16"/>
  <c r="H773" i="16"/>
  <c r="C773" i="16"/>
  <c r="B773" i="16"/>
  <c r="A773" i="16"/>
  <c r="A770" i="16"/>
  <c r="B769" i="16"/>
  <c r="H764" i="16"/>
  <c r="C764" i="16"/>
  <c r="B764" i="16"/>
  <c r="A764" i="16"/>
  <c r="A761" i="16"/>
  <c r="B760" i="16"/>
  <c r="H755" i="16"/>
  <c r="C755" i="16"/>
  <c r="B755" i="16"/>
  <c r="A755" i="16"/>
  <c r="A752" i="16"/>
  <c r="B751" i="16"/>
  <c r="H746" i="16"/>
  <c r="C746" i="16"/>
  <c r="B746" i="16"/>
  <c r="A746" i="16"/>
  <c r="A743" i="16"/>
  <c r="B742" i="16"/>
  <c r="H737" i="16"/>
  <c r="C737" i="16"/>
  <c r="B737" i="16"/>
  <c r="A737" i="16"/>
  <c r="A734" i="16"/>
  <c r="B733" i="16"/>
  <c r="H728" i="16"/>
  <c r="C728" i="16"/>
  <c r="B728" i="16"/>
  <c r="A728" i="16"/>
  <c r="A725" i="16"/>
  <c r="B724" i="16"/>
  <c r="H719" i="16"/>
  <c r="C719" i="16"/>
  <c r="B719" i="16"/>
  <c r="A719" i="16"/>
  <c r="A716" i="16"/>
  <c r="B715" i="16"/>
  <c r="H710" i="16"/>
  <c r="C710" i="16"/>
  <c r="B710" i="16"/>
  <c r="A710" i="16"/>
  <c r="A707" i="16"/>
  <c r="B706" i="16"/>
  <c r="H701" i="16"/>
  <c r="C701" i="16"/>
  <c r="B701" i="16"/>
  <c r="A701" i="16"/>
  <c r="A698" i="16"/>
  <c r="B697" i="16"/>
  <c r="H692" i="16"/>
  <c r="C692" i="16"/>
  <c r="B692" i="16"/>
  <c r="A692" i="16"/>
  <c r="A689" i="16"/>
  <c r="B688" i="16"/>
  <c r="H683" i="16"/>
  <c r="C683" i="16"/>
  <c r="B683" i="16"/>
  <c r="A683" i="16"/>
  <c r="A680" i="16"/>
  <c r="B679" i="16"/>
  <c r="H674" i="16"/>
  <c r="C674" i="16"/>
  <c r="B674" i="16"/>
  <c r="A674" i="16"/>
  <c r="A671" i="16"/>
  <c r="B670" i="16"/>
  <c r="H665" i="16"/>
  <c r="C665" i="16"/>
  <c r="B665" i="16"/>
  <c r="A665" i="16"/>
  <c r="A662" i="16"/>
  <c r="B661" i="16"/>
  <c r="H656" i="16"/>
  <c r="C656" i="16"/>
  <c r="B656" i="16"/>
  <c r="A656" i="16"/>
  <c r="A653" i="16"/>
  <c r="B652" i="16"/>
  <c r="H647" i="16"/>
  <c r="C647" i="16"/>
  <c r="B647" i="16"/>
  <c r="A647" i="16"/>
  <c r="A644" i="16"/>
  <c r="B643" i="16"/>
  <c r="H638" i="16"/>
  <c r="C638" i="16"/>
  <c r="B638" i="16"/>
  <c r="A638" i="16"/>
  <c r="A635" i="16"/>
  <c r="B634" i="16"/>
  <c r="H629" i="16"/>
  <c r="C629" i="16"/>
  <c r="B629" i="16"/>
  <c r="A629" i="16"/>
  <c r="A626" i="16"/>
  <c r="B625" i="16"/>
  <c r="H620" i="16"/>
  <c r="C620" i="16"/>
  <c r="B620" i="16"/>
  <c r="A620" i="16"/>
  <c r="A617" i="16"/>
  <c r="B616" i="16"/>
  <c r="H611" i="16"/>
  <c r="C611" i="16"/>
  <c r="B611" i="16"/>
  <c r="A611" i="16"/>
  <c r="A608" i="16"/>
  <c r="B607" i="16"/>
  <c r="H602" i="16"/>
  <c r="C602" i="16"/>
  <c r="B602" i="16"/>
  <c r="A602" i="16"/>
  <c r="A599" i="16"/>
  <c r="B598" i="16"/>
  <c r="H593" i="16"/>
  <c r="C593" i="16"/>
  <c r="B593" i="16"/>
  <c r="A593" i="16"/>
  <c r="A590" i="16"/>
  <c r="B589" i="16"/>
  <c r="H584" i="16"/>
  <c r="C584" i="16"/>
  <c r="B584" i="16"/>
  <c r="A584" i="16"/>
  <c r="A581" i="16"/>
  <c r="B580" i="16"/>
  <c r="H575" i="16"/>
  <c r="C575" i="16"/>
  <c r="B575" i="16"/>
  <c r="A575" i="16"/>
  <c r="A572" i="16"/>
  <c r="B571" i="16"/>
  <c r="H566" i="16"/>
  <c r="C566" i="16"/>
  <c r="B566" i="16"/>
  <c r="A566" i="16"/>
  <c r="A563" i="16"/>
  <c r="B562" i="16"/>
  <c r="H557" i="16"/>
  <c r="C557" i="16"/>
  <c r="B557" i="16"/>
  <c r="A557" i="16"/>
  <c r="A554" i="16"/>
  <c r="B553" i="16"/>
  <c r="H548" i="16"/>
  <c r="C548" i="16"/>
  <c r="B548" i="16"/>
  <c r="A548" i="16"/>
  <c r="A545" i="16"/>
  <c r="B544" i="16"/>
  <c r="H539" i="16"/>
  <c r="C539" i="16"/>
  <c r="B539" i="16"/>
  <c r="A539" i="16"/>
  <c r="A536" i="16"/>
  <c r="B535" i="16"/>
  <c r="H530" i="16"/>
  <c r="C530" i="16"/>
  <c r="B530" i="16"/>
  <c r="A530" i="16"/>
  <c r="A527" i="16"/>
  <c r="B526" i="16"/>
  <c r="H521" i="16"/>
  <c r="C521" i="16"/>
  <c r="B521" i="16"/>
  <c r="A521" i="16"/>
  <c r="A518" i="16"/>
  <c r="B517" i="16"/>
  <c r="H512" i="16"/>
  <c r="C512" i="16"/>
  <c r="B512" i="16"/>
  <c r="A512" i="16"/>
  <c r="A509" i="16"/>
  <c r="B508" i="16"/>
  <c r="H503" i="16"/>
  <c r="C503" i="16"/>
  <c r="B503" i="16"/>
  <c r="A503" i="16"/>
  <c r="A500" i="16"/>
  <c r="B499" i="16"/>
  <c r="H494" i="16"/>
  <c r="C494" i="16"/>
  <c r="B494" i="16"/>
  <c r="A494" i="16"/>
  <c r="A491" i="16"/>
  <c r="B490" i="16"/>
  <c r="H485" i="16"/>
  <c r="C485" i="16"/>
  <c r="B485" i="16"/>
  <c r="A485" i="16"/>
  <c r="A482" i="16"/>
  <c r="B481" i="16"/>
  <c r="H476" i="16"/>
  <c r="C476" i="16"/>
  <c r="B476" i="16"/>
  <c r="A476" i="16"/>
  <c r="A473" i="16"/>
  <c r="B472" i="16"/>
  <c r="H467" i="16"/>
  <c r="C467" i="16"/>
  <c r="B467" i="16"/>
  <c r="A467" i="16"/>
  <c r="A464" i="16"/>
  <c r="B463" i="16"/>
  <c r="H458" i="16"/>
  <c r="C458" i="16"/>
  <c r="B458" i="16"/>
  <c r="A458" i="16"/>
  <c r="A455" i="16"/>
  <c r="B454" i="16"/>
  <c r="H449" i="16"/>
  <c r="C449" i="16"/>
  <c r="B449" i="16"/>
  <c r="A449" i="16"/>
  <c r="A446" i="16"/>
  <c r="B445" i="16"/>
  <c r="H440" i="16"/>
  <c r="C440" i="16"/>
  <c r="B440" i="16"/>
  <c r="A440" i="16"/>
  <c r="A437" i="16"/>
  <c r="B436" i="16"/>
  <c r="H431" i="16"/>
  <c r="C431" i="16"/>
  <c r="B431" i="16"/>
  <c r="A431" i="16"/>
  <c r="A428" i="16"/>
  <c r="B427" i="16"/>
  <c r="H422" i="16"/>
  <c r="C422" i="16"/>
  <c r="B422" i="16"/>
  <c r="A422" i="16"/>
  <c r="A419" i="16"/>
  <c r="B418" i="16"/>
  <c r="H413" i="16"/>
  <c r="C413" i="16"/>
  <c r="B413" i="16"/>
  <c r="A413" i="16"/>
  <c r="A410" i="16"/>
  <c r="B409" i="16"/>
  <c r="H404" i="16"/>
  <c r="C404" i="16"/>
  <c r="B404" i="16"/>
  <c r="A404" i="16"/>
  <c r="A401" i="16"/>
  <c r="B400" i="16"/>
  <c r="H395" i="16"/>
  <c r="C395" i="16"/>
  <c r="B395" i="16"/>
  <c r="A395" i="16"/>
  <c r="A392" i="16"/>
  <c r="B391" i="16"/>
  <c r="H386" i="16"/>
  <c r="C386" i="16"/>
  <c r="B386" i="16"/>
  <c r="A386" i="16"/>
  <c r="A383" i="16"/>
  <c r="B382" i="16"/>
  <c r="H377" i="16"/>
  <c r="C377" i="16"/>
  <c r="B377" i="16"/>
  <c r="A377" i="16"/>
  <c r="A374" i="16"/>
  <c r="B373" i="16"/>
  <c r="H368" i="16"/>
  <c r="C368" i="16"/>
  <c r="B368" i="16"/>
  <c r="A368" i="16"/>
  <c r="A365" i="16"/>
  <c r="B364" i="16"/>
  <c r="H359" i="16"/>
  <c r="C359" i="16"/>
  <c r="B359" i="16"/>
  <c r="A359" i="16"/>
  <c r="A356" i="16"/>
  <c r="B355" i="16"/>
  <c r="H350" i="16"/>
  <c r="C350" i="16"/>
  <c r="B350" i="16"/>
  <c r="A350" i="16"/>
  <c r="A347" i="16"/>
  <c r="B346" i="16"/>
  <c r="H341" i="16"/>
  <c r="C341" i="16"/>
  <c r="B341" i="16"/>
  <c r="A341" i="16"/>
  <c r="A338" i="16"/>
  <c r="B337" i="16"/>
  <c r="H332" i="16"/>
  <c r="C332" i="16"/>
  <c r="B332" i="16"/>
  <c r="A332" i="16"/>
  <c r="A329" i="16"/>
  <c r="B328" i="16"/>
  <c r="H323" i="16"/>
  <c r="C323" i="16"/>
  <c r="B323" i="16"/>
  <c r="A323" i="16"/>
  <c r="A320" i="16"/>
  <c r="B319" i="16"/>
  <c r="H314" i="16"/>
  <c r="C314" i="16"/>
  <c r="B314" i="16"/>
  <c r="A314" i="16"/>
  <c r="A311" i="16"/>
  <c r="B310" i="16"/>
  <c r="H305" i="16"/>
  <c r="C305" i="16"/>
  <c r="B305" i="16"/>
  <c r="A305" i="16"/>
  <c r="A302" i="16"/>
  <c r="B301" i="16"/>
  <c r="H296" i="16"/>
  <c r="C296" i="16"/>
  <c r="B296" i="16"/>
  <c r="A296" i="16"/>
  <c r="A293" i="16"/>
  <c r="B292" i="16"/>
  <c r="H287" i="16"/>
  <c r="C287" i="16"/>
  <c r="B287" i="16"/>
  <c r="A287" i="16"/>
  <c r="A284" i="16"/>
  <c r="B283" i="16"/>
  <c r="H278" i="16"/>
  <c r="C278" i="16"/>
  <c r="B278" i="16"/>
  <c r="A278" i="16"/>
  <c r="A275" i="16"/>
  <c r="B274" i="16"/>
  <c r="H269" i="16"/>
  <c r="C269" i="16"/>
  <c r="B269" i="16"/>
  <c r="A269" i="16"/>
  <c r="A266" i="16"/>
  <c r="B265" i="16"/>
  <c r="H260" i="16"/>
  <c r="C260" i="16"/>
  <c r="B260" i="16"/>
  <c r="A260" i="16"/>
  <c r="A257" i="16"/>
  <c r="B256" i="16"/>
  <c r="H251" i="16"/>
  <c r="C251" i="16"/>
  <c r="B251" i="16"/>
  <c r="A251" i="16"/>
  <c r="A248" i="16"/>
  <c r="B247" i="16"/>
  <c r="H242" i="16"/>
  <c r="C242" i="16"/>
  <c r="B242" i="16"/>
  <c r="A242" i="16"/>
  <c r="A239" i="16"/>
  <c r="B238" i="16"/>
  <c r="H233" i="16"/>
  <c r="C233" i="16"/>
  <c r="B233" i="16"/>
  <c r="A233" i="16"/>
  <c r="A230" i="16"/>
  <c r="B229" i="16"/>
  <c r="H224" i="16"/>
  <c r="C224" i="16"/>
  <c r="B224" i="16"/>
  <c r="A224" i="16"/>
  <c r="A221" i="16"/>
  <c r="B220" i="16"/>
  <c r="H215" i="16"/>
  <c r="C215" i="16"/>
  <c r="B215" i="16"/>
  <c r="A215" i="16"/>
  <c r="A212" i="16"/>
  <c r="B211" i="16"/>
  <c r="H206" i="16"/>
  <c r="C206" i="16"/>
  <c r="B206" i="16"/>
  <c r="A206" i="16"/>
  <c r="A203" i="16"/>
  <c r="B202" i="16"/>
  <c r="H197" i="16"/>
  <c r="C197" i="16"/>
  <c r="B197" i="16"/>
  <c r="A197" i="16"/>
  <c r="A194" i="16"/>
  <c r="B193" i="16"/>
  <c r="H188" i="16"/>
  <c r="C188" i="16"/>
  <c r="B188" i="16"/>
  <c r="A188" i="16"/>
  <c r="A185" i="16"/>
  <c r="B184" i="16"/>
  <c r="H179" i="16"/>
  <c r="C179" i="16"/>
  <c r="B179" i="16"/>
  <c r="A179" i="16"/>
  <c r="A176" i="16"/>
  <c r="B175" i="16"/>
  <c r="H170" i="16"/>
  <c r="C170" i="16"/>
  <c r="B170" i="16"/>
  <c r="A170" i="16"/>
  <c r="A167" i="16"/>
  <c r="B166" i="16"/>
  <c r="H161" i="16"/>
  <c r="C161" i="16"/>
  <c r="B161" i="16"/>
  <c r="A161" i="16"/>
  <c r="A158" i="16"/>
  <c r="B157" i="16"/>
  <c r="H152" i="16"/>
  <c r="C152" i="16"/>
  <c r="B152" i="16"/>
  <c r="A152" i="16"/>
  <c r="A149" i="16"/>
  <c r="B148" i="16"/>
  <c r="H143" i="16"/>
  <c r="C143" i="16"/>
  <c r="B143" i="16"/>
  <c r="A143" i="16"/>
  <c r="A140" i="16"/>
  <c r="B139" i="16"/>
  <c r="H134" i="16"/>
  <c r="C134" i="16"/>
  <c r="B134" i="16"/>
  <c r="A134" i="16"/>
  <c r="A131" i="16"/>
  <c r="B130" i="16"/>
  <c r="H125" i="16"/>
  <c r="C125" i="16"/>
  <c r="B125" i="16"/>
  <c r="A125" i="16"/>
  <c r="A122" i="16"/>
  <c r="B121" i="16"/>
  <c r="H116" i="16"/>
  <c r="C116" i="16"/>
  <c r="B116" i="16"/>
  <c r="A116" i="16"/>
  <c r="A113" i="16"/>
  <c r="B112" i="16"/>
  <c r="H107" i="16"/>
  <c r="C107" i="16"/>
  <c r="B107" i="16"/>
  <c r="A107" i="16"/>
  <c r="A104" i="16"/>
  <c r="B103" i="16"/>
  <c r="H98" i="16"/>
  <c r="C98" i="16"/>
  <c r="B98" i="16"/>
  <c r="A98" i="16"/>
  <c r="A95" i="16"/>
  <c r="B94" i="16"/>
  <c r="H89" i="16"/>
  <c r="C89" i="16"/>
  <c r="B89" i="16"/>
  <c r="A89" i="16"/>
  <c r="A86" i="16"/>
  <c r="B85" i="16"/>
  <c r="H80" i="16"/>
  <c r="C80" i="16"/>
  <c r="B80" i="16"/>
  <c r="A80" i="16"/>
  <c r="A77" i="16"/>
  <c r="B76" i="16"/>
  <c r="H71" i="16"/>
  <c r="C71" i="16"/>
  <c r="B71" i="16"/>
  <c r="A71" i="16"/>
  <c r="A68" i="16"/>
  <c r="B67" i="16"/>
  <c r="H62" i="16"/>
  <c r="C62" i="16"/>
  <c r="B62" i="16"/>
  <c r="A62" i="16"/>
  <c r="A59" i="16"/>
  <c r="B58" i="16"/>
  <c r="H53" i="16"/>
  <c r="C53" i="16"/>
  <c r="B53" i="16"/>
  <c r="A53" i="16"/>
  <c r="A50" i="16"/>
  <c r="B49" i="16"/>
  <c r="H44" i="16"/>
  <c r="C44" i="16"/>
  <c r="B44" i="16"/>
  <c r="A44" i="16"/>
  <c r="A41" i="16"/>
  <c r="B40" i="16"/>
  <c r="H35" i="16"/>
  <c r="C35" i="16"/>
  <c r="B35" i="16"/>
  <c r="A35" i="16"/>
  <c r="A32" i="16"/>
  <c r="B31" i="16"/>
  <c r="H26" i="16"/>
  <c r="C26" i="16"/>
  <c r="B26" i="16"/>
  <c r="A26" i="16"/>
  <c r="A23" i="16"/>
  <c r="B22" i="16"/>
  <c r="H17" i="16"/>
  <c r="C17" i="16"/>
  <c r="B17" i="16"/>
  <c r="A17" i="16"/>
  <c r="A14" i="16"/>
  <c r="B13" i="16"/>
  <c r="H8" i="16"/>
  <c r="C8" i="16"/>
  <c r="B8" i="16"/>
  <c r="A8" i="16"/>
  <c r="A5" i="16"/>
  <c r="B4" i="16"/>
  <c r="J36" i="2"/>
  <c r="K36" i="2"/>
  <c r="L36" i="2"/>
  <c r="M36" i="2"/>
  <c r="N36" i="2"/>
  <c r="O36" i="2"/>
  <c r="P36" i="2"/>
  <c r="Q36" i="2"/>
  <c r="R36" i="2"/>
  <c r="S36" i="2"/>
  <c r="T36" i="2"/>
  <c r="U36" i="2"/>
  <c r="V36" i="2"/>
  <c r="W36" i="2"/>
  <c r="X36" i="2"/>
  <c r="Y36" i="2"/>
  <c r="Z36" i="2"/>
  <c r="AA36" i="2"/>
  <c r="AB36" i="2"/>
  <c r="AC36" i="2"/>
  <c r="AD36" i="2"/>
  <c r="AE36" i="2"/>
  <c r="AF36" i="2"/>
  <c r="AG36" i="2"/>
  <c r="AH36" i="2"/>
  <c r="AI36" i="2"/>
  <c r="AJ36" i="2"/>
  <c r="AK36" i="2"/>
  <c r="A11" i="14" l="1"/>
  <c r="A8" i="14"/>
  <c r="A8" i="4"/>
  <c r="A5" i="4"/>
  <c r="A14" i="9"/>
  <c r="A11" i="9"/>
  <c r="A23" i="8"/>
  <c r="A44" i="18"/>
  <c r="A26" i="14"/>
  <c r="A23" i="14"/>
  <c r="A20" i="14"/>
  <c r="A17" i="14"/>
  <c r="A119" i="13"/>
  <c r="A116" i="13"/>
  <c r="A113" i="13"/>
  <c r="A110" i="13"/>
  <c r="A98" i="11"/>
  <c r="A95" i="11"/>
  <c r="A14" i="14"/>
  <c r="A5" i="14"/>
  <c r="A2" i="14"/>
  <c r="A107" i="13"/>
  <c r="A104" i="13"/>
  <c r="A101" i="13"/>
  <c r="A98" i="13"/>
  <c r="A95" i="13"/>
  <c r="A92" i="13"/>
  <c r="A89" i="13"/>
  <c r="A86" i="13"/>
  <c r="A83" i="13"/>
  <c r="A80" i="13"/>
  <c r="A77" i="13"/>
  <c r="A74" i="13"/>
  <c r="A71" i="13"/>
  <c r="A68" i="13"/>
  <c r="A65" i="13"/>
  <c r="A62" i="13"/>
  <c r="A59" i="13"/>
  <c r="A56" i="13"/>
  <c r="A53" i="13"/>
  <c r="A50" i="13"/>
  <c r="A47" i="13"/>
  <c r="A44" i="13"/>
  <c r="A41" i="13"/>
  <c r="A38" i="13"/>
  <c r="A35" i="13"/>
  <c r="A32" i="13"/>
  <c r="A29" i="13"/>
  <c r="A26" i="13"/>
  <c r="A23" i="13"/>
  <c r="A20" i="13"/>
  <c r="A17" i="13"/>
  <c r="A14" i="13"/>
  <c r="A11" i="13"/>
  <c r="A8" i="13"/>
  <c r="A5" i="13"/>
  <c r="A2" i="13"/>
  <c r="A77" i="11"/>
  <c r="A74" i="11"/>
  <c r="A71" i="11"/>
  <c r="A68" i="11"/>
  <c r="A65" i="11"/>
  <c r="A62" i="11"/>
  <c r="A59" i="11"/>
  <c r="A56" i="11"/>
  <c r="A53" i="11"/>
  <c r="A50" i="11"/>
  <c r="A44" i="11"/>
  <c r="A47" i="11"/>
  <c r="A35" i="12"/>
  <c r="A32" i="12"/>
  <c r="A29" i="12"/>
  <c r="A26" i="12"/>
  <c r="A23" i="12"/>
  <c r="A20" i="12"/>
  <c r="A17" i="12"/>
  <c r="A14" i="12"/>
  <c r="A11" i="12"/>
  <c r="A8" i="12"/>
  <c r="A5" i="12"/>
  <c r="A2" i="12"/>
  <c r="A41" i="11"/>
  <c r="A38" i="11"/>
  <c r="A35" i="11"/>
  <c r="A32" i="11"/>
  <c r="A29" i="11"/>
  <c r="A26" i="11"/>
  <c r="A23" i="11"/>
  <c r="A20" i="11"/>
  <c r="A17" i="11"/>
  <c r="A14" i="11"/>
  <c r="A11" i="11"/>
  <c r="A8" i="11"/>
  <c r="A5" i="11"/>
  <c r="A2" i="11"/>
  <c r="A29" i="10"/>
  <c r="A26" i="10"/>
  <c r="A23" i="10"/>
  <c r="A20" i="10"/>
  <c r="A17" i="10"/>
  <c r="A14" i="10"/>
  <c r="A11" i="10"/>
  <c r="A8" i="10"/>
  <c r="A5" i="10"/>
  <c r="A2" i="10"/>
  <c r="A8" i="9"/>
  <c r="A5" i="9"/>
  <c r="A2" i="9"/>
  <c r="A2" i="8"/>
  <c r="A5" i="8" s="1"/>
  <c r="A8" i="8" s="1"/>
  <c r="A11" i="8" s="1"/>
  <c r="A14" i="8" s="1"/>
  <c r="A17" i="8" s="1"/>
  <c r="A20" i="8" s="1"/>
  <c r="A26" i="8"/>
  <c r="A29" i="8"/>
  <c r="A11" i="19"/>
  <c r="A8" i="19"/>
  <c r="A5" i="19"/>
  <c r="A2" i="19"/>
  <c r="A41" i="18"/>
  <c r="A38" i="18"/>
  <c r="A35" i="18"/>
  <c r="A32" i="18"/>
  <c r="A29" i="18"/>
  <c r="A26" i="18"/>
  <c r="A23" i="18"/>
  <c r="A20" i="18"/>
  <c r="A17" i="18"/>
  <c r="A14" i="18"/>
  <c r="A11" i="18"/>
  <c r="A8" i="18"/>
  <c r="A5" i="18"/>
  <c r="A2" i="18"/>
  <c r="A17" i="3" l="1"/>
  <c r="A14" i="3"/>
  <c r="A59" i="3"/>
  <c r="A56" i="3"/>
  <c r="A32" i="6" l="1"/>
  <c r="A29" i="6"/>
  <c r="A26" i="6"/>
  <c r="A35" i="3" l="1"/>
  <c r="A2" i="6" l="1"/>
  <c r="E11" i="12" l="1"/>
  <c r="E14" i="12"/>
  <c r="E14" i="10"/>
  <c r="A12" i="2" l="1"/>
  <c r="A9" i="2"/>
  <c r="A6" i="2" l="1"/>
  <c r="A92" i="11"/>
  <c r="A89" i="11"/>
  <c r="A86" i="11"/>
  <c r="A83" i="11"/>
  <c r="A80" i="11"/>
  <c r="A38" i="8"/>
  <c r="A35" i="8"/>
  <c r="A32" i="8"/>
  <c r="A23" i="6"/>
  <c r="A20" i="6"/>
  <c r="A41" i="5"/>
  <c r="A38" i="5"/>
  <c r="A53" i="3"/>
  <c r="A50" i="3"/>
  <c r="A47" i="3"/>
  <c r="A17" i="6" l="1"/>
  <c r="A14" i="6"/>
  <c r="A11" i="6"/>
  <c r="A8" i="6"/>
  <c r="A5" i="6"/>
  <c r="A35" i="5"/>
  <c r="A32" i="5"/>
  <c r="A29" i="5"/>
  <c r="A26" i="5"/>
  <c r="A23" i="5"/>
  <c r="A20" i="5"/>
  <c r="A17" i="5"/>
  <c r="A14" i="5"/>
  <c r="A11" i="5"/>
  <c r="A8" i="5"/>
  <c r="A5" i="5"/>
  <c r="A2" i="5"/>
  <c r="A59" i="4"/>
  <c r="A56" i="4"/>
  <c r="A53" i="4"/>
  <c r="A50" i="4"/>
  <c r="A47" i="4"/>
  <c r="A44" i="4"/>
  <c r="A41" i="4"/>
  <c r="A38" i="4"/>
  <c r="A35" i="4"/>
  <c r="A32" i="4"/>
  <c r="A29" i="4"/>
  <c r="A26" i="4"/>
  <c r="A23" i="4"/>
  <c r="A20" i="4"/>
  <c r="A17" i="4"/>
  <c r="A14" i="4"/>
  <c r="A11" i="4"/>
  <c r="A2" i="4"/>
  <c r="A44" i="3"/>
  <c r="A41" i="3"/>
  <c r="A38" i="3"/>
  <c r="A32" i="3"/>
  <c r="A29" i="3"/>
  <c r="A26" i="3"/>
  <c r="A23" i="3"/>
  <c r="A20" i="3"/>
  <c r="A8" i="3"/>
  <c r="A11" i="3" s="1"/>
  <c r="A5" i="3"/>
  <c r="A2" i="3"/>
  <c r="A40" i="2"/>
  <c r="A36" i="2"/>
  <c r="A33" i="2"/>
  <c r="A30" i="2"/>
  <c r="A27" i="2"/>
  <c r="A24" i="2"/>
  <c r="A21" i="2"/>
  <c r="A18" i="2"/>
  <c r="A15"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20" authorId="0" shapeId="0" xr:uid="{528E85D1-1FA8-4181-AB73-5D8665306BA3}">
      <text>
        <r>
          <rPr>
            <b/>
            <sz val="9"/>
            <color indexed="81"/>
            <rFont val="Tahoma"/>
            <family val="2"/>
          </rPr>
          <t>Tom Walsh:</t>
        </r>
        <r>
          <rPr>
            <sz val="9"/>
            <color indexed="81"/>
            <rFont val="Tahoma"/>
            <family val="2"/>
          </rPr>
          <t xml:space="preserve">
Calibrating to 0.011576574078611</t>
        </r>
      </text>
    </comment>
    <comment ref="A22" authorId="1" shapeId="0" xr:uid="{00000000-0006-0000-0200-000001000000}">
      <text>
        <r>
          <rPr>
            <sz val="8"/>
            <color indexed="81"/>
            <rFont val="Tahoma"/>
            <family val="2"/>
          </rPr>
          <t>GBD tool</t>
        </r>
      </text>
    </comment>
    <comment ref="E23" authorId="0" shapeId="0" xr:uid="{63D63F8E-B155-44AB-833D-BB620707ED8E}">
      <text>
        <r>
          <rPr>
            <b/>
            <sz val="9"/>
            <color indexed="81"/>
            <rFont val="Tahoma"/>
            <family val="2"/>
          </rPr>
          <t>Tom Walsh:</t>
        </r>
        <r>
          <rPr>
            <sz val="9"/>
            <color indexed="81"/>
            <rFont val="Tahoma"/>
            <family val="2"/>
          </rPr>
          <t xml:space="preserve">
Calibrating to 0.02386</t>
        </r>
      </text>
    </comment>
    <comment ref="E41" authorId="0" shapeId="0" xr:uid="{3FA6E3F5-8DC9-42D1-AC4A-4CD52E4AA011}">
      <text>
        <r>
          <rPr>
            <b/>
            <sz val="9"/>
            <color indexed="81"/>
            <rFont val="Tahoma"/>
            <family val="2"/>
          </rPr>
          <t>Tom Walsh:</t>
        </r>
        <r>
          <rPr>
            <sz val="9"/>
            <color indexed="81"/>
            <rFont val="Tahoma"/>
            <family val="2"/>
          </rPr>
          <t xml:space="preserve">
Mild motor impairment due to neonatal encephalopathy due to birth asphyxia and trauma
row 479</t>
        </r>
      </text>
    </comment>
    <comment ref="E44" authorId="0" shapeId="0" xr:uid="{34E226DA-B513-4AFB-A634-78E990F541FB}">
      <text>
        <r>
          <rPr>
            <b/>
            <sz val="9"/>
            <color indexed="81"/>
            <rFont val="Tahoma"/>
            <family val="2"/>
          </rPr>
          <t>Tom Walsh:</t>
        </r>
        <r>
          <rPr>
            <sz val="9"/>
            <color indexed="81"/>
            <rFont val="Tahoma"/>
            <family val="2"/>
          </rPr>
          <t xml:space="preserve">
Severe motor impairment due to neonatal encephalopathy due to birth asphyxia and trauma row 480</t>
        </r>
      </text>
    </comment>
    <comment ref="A46" authorId="1" shapeId="0" xr:uid="{EE8671FA-8DF9-498C-95E1-BB71CC6A7263}">
      <text>
        <r>
          <rPr>
            <sz val="8"/>
            <color indexed="81"/>
            <rFont val="Tahoma"/>
            <family val="2"/>
          </rPr>
          <t>Cases: to be used for calibration</t>
        </r>
      </text>
    </comment>
    <comment ref="A49" authorId="1" shapeId="0" xr:uid="{0B6B1025-713C-444D-8D8F-4992336AB468}">
      <text>
        <r>
          <rPr>
            <sz val="8"/>
            <color indexed="81"/>
            <rFont val="Tahoma"/>
            <family val="2"/>
          </rPr>
          <t>Deaths: to be used for calibration</t>
        </r>
      </text>
    </comment>
    <comment ref="A52" authorId="1" shapeId="0" xr:uid="{0EC302D7-286C-4364-80CC-B0A482A3E7F4}">
      <text>
        <r>
          <rPr>
            <sz val="8"/>
            <color indexed="81"/>
            <rFont val="Tahoma"/>
            <family val="2"/>
          </rPr>
          <t>Stillbirths: to be used for calibration</t>
        </r>
      </text>
    </comment>
    <comment ref="A55" authorId="1" shapeId="0" xr:uid="{E335D087-6971-4A46-B2E8-C3B48B5764A8}">
      <text>
        <r>
          <rPr>
            <sz val="8"/>
            <color indexed="81"/>
            <rFont val="Tahoma"/>
            <family val="2"/>
          </rPr>
          <t>To be stitched in</t>
        </r>
      </text>
    </comment>
    <comment ref="A58" authorId="1" shapeId="0" xr:uid="{A3B0A752-C8D3-4FDD-BD72-B58DBB855A8F}">
      <text>
        <r>
          <rPr>
            <sz val="8"/>
            <color indexed="81"/>
            <rFont val="Tahoma"/>
            <family val="2"/>
          </rPr>
          <t>To be stitched 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3" authorId="0" shapeId="0" xr:uid="{00000000-0006-0000-0300-000002000000}">
      <text>
        <r>
          <rPr>
            <sz val="8"/>
            <color indexed="81"/>
            <rFont val="Tahoma"/>
            <family val="2"/>
          </rPr>
          <t>ARC PRiSMA</t>
        </r>
      </text>
    </comment>
    <comment ref="A16" authorId="0" shapeId="0" xr:uid="{00000000-0006-0000-0300-000003000000}">
      <text>
        <r>
          <rPr>
            <sz val="8"/>
            <color indexed="81"/>
            <rFont val="Tahoma"/>
            <family val="2"/>
          </rPr>
          <t>ARC PRiSMA</t>
        </r>
      </text>
    </comment>
    <comment ref="A19" authorId="0" shapeId="0" xr:uid="{00000000-0006-0000-0300-000004000000}">
      <text>
        <r>
          <rPr>
            <sz val="8"/>
            <color indexed="81"/>
            <rFont val="Tahoma"/>
            <family val="2"/>
          </rPr>
          <t>ARC PRiSMA</t>
        </r>
      </text>
    </comment>
    <comment ref="A22" authorId="0" shapeId="0" xr:uid="{00000000-0006-0000-0300-000005000000}">
      <text>
        <r>
          <rPr>
            <sz val="8"/>
            <color indexed="81"/>
            <rFont val="Tahoma"/>
            <family val="2"/>
          </rPr>
          <t>Targeted by blood test programs - establish baseline</t>
        </r>
      </text>
    </comment>
    <comment ref="A25" authorId="0" shapeId="0" xr:uid="{00000000-0006-0000-0300-000006000000}">
      <text>
        <r>
          <rPr>
            <sz val="8"/>
            <color indexed="81"/>
            <rFont val="Tahoma"/>
            <family val="2"/>
          </rPr>
          <t>Targeted by SOC iron tablets</t>
        </r>
      </text>
    </comment>
    <comment ref="A28" authorId="0" shapeId="0" xr:uid="{00000000-0006-0000-0300-000007000000}">
      <text>
        <r>
          <rPr>
            <sz val="8"/>
            <color indexed="81"/>
            <rFont val="Tahoma"/>
            <family val="2"/>
          </rPr>
          <t>Targeted by SOC iron tablets</t>
        </r>
      </text>
    </comment>
    <comment ref="A31" authorId="0" shapeId="0" xr:uid="{00000000-0006-0000-0300-000008000000}">
      <text>
        <r>
          <rPr>
            <sz val="8"/>
            <color indexed="81"/>
            <rFont val="Tahoma"/>
            <family val="2"/>
          </rPr>
          <t>Targeted by SOC iron tablets; need data point</t>
        </r>
      </text>
    </comment>
    <comment ref="A34" authorId="0" shapeId="0" xr:uid="{00000000-0006-0000-0300-000009000000}">
      <text>
        <r>
          <rPr>
            <sz val="8"/>
            <color indexed="81"/>
            <rFont val="Tahoma"/>
            <family val="2"/>
          </rPr>
          <t>Targeted by SOC iron tablets and IV iron</t>
        </r>
      </text>
    </comment>
    <comment ref="A37" authorId="0" shapeId="0" xr:uid="{00000000-0006-0000-0300-00000A000000}">
      <text>
        <r>
          <rPr>
            <sz val="8"/>
            <color indexed="81"/>
            <rFont val="Tahoma"/>
            <family val="2"/>
          </rPr>
          <t>Targeted by SOC iron tablets and IV iron</t>
        </r>
      </text>
    </comment>
    <comment ref="A40" authorId="0" shapeId="0" xr:uid="{00000000-0006-0000-0300-00000B000000}">
      <text>
        <r>
          <rPr>
            <sz val="8"/>
            <color indexed="81"/>
            <rFont val="Tahoma"/>
            <family val="2"/>
          </rPr>
          <t>Targeted by SOC iron tablets and IV iron; need data point</t>
        </r>
      </text>
    </comment>
    <comment ref="A46" authorId="0" shapeId="0" xr:uid="{00000000-0006-0000-0300-00000D000000}">
      <text>
        <r>
          <rPr>
            <sz val="8"/>
            <color indexed="81"/>
            <rFont val="Tahoma"/>
            <family val="2"/>
          </rPr>
          <t>Targeted by SOC iron tablets and IV iron</t>
        </r>
      </text>
    </comment>
    <comment ref="A49" authorId="0" shapeId="0" xr:uid="{00000000-0006-0000-0300-00000E000000}">
      <text>
        <r>
          <rPr>
            <sz val="8"/>
            <color indexed="81"/>
            <rFont val="Tahoma"/>
            <family val="2"/>
          </rPr>
          <t>Targeted by SOC iron tablets and IV iron</t>
        </r>
      </text>
    </comment>
    <comment ref="A55" authorId="0" shapeId="0" xr:uid="{00000000-0006-0000-0300-000010000000}">
      <text>
        <r>
          <rPr>
            <sz val="8"/>
            <color indexed="81"/>
            <rFont val="Tahoma"/>
            <family val="2"/>
          </rPr>
          <t>GBD 2016</t>
        </r>
      </text>
    </comment>
    <comment ref="A58" authorId="0" shapeId="0" xr:uid="{00000000-0006-0000-0300-000011000000}">
      <text>
        <r>
          <rPr>
            <sz val="8"/>
            <color indexed="81"/>
            <rFont val="Tahoma"/>
            <family val="2"/>
          </rPr>
          <t>GBD 2016</t>
        </r>
      </text>
    </comment>
    <comment ref="E59" authorId="1" shapeId="0" xr:uid="{1214E093-5143-44F4-84CE-2C5E29988539}">
      <text>
        <r>
          <rPr>
            <b/>
            <sz val="9"/>
            <color indexed="81"/>
            <rFont val="Tahoma"/>
            <family val="2"/>
          </rPr>
          <t>Tom Walsh:</t>
        </r>
        <r>
          <rPr>
            <sz val="9"/>
            <color indexed="81"/>
            <rFont val="Tahoma"/>
            <family val="2"/>
          </rPr>
          <t xml:space="preserve">
Severe iron-deficiency anemia row 531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6" authorId="0" shapeId="0" xr:uid="{00000000-0006-0000-0400-000001000000}">
      <text>
        <r>
          <rPr>
            <sz val="8"/>
            <color indexed="81"/>
            <rFont val="Tahoma"/>
            <family val="2"/>
          </rPr>
          <t>Calibrate based on identifiable and ultrasound</t>
        </r>
      </text>
    </comment>
    <comment ref="A25" authorId="0" shapeId="0" xr:uid="{00000000-0006-0000-0400-000004000000}">
      <text>
        <r>
          <rPr>
            <sz val="8"/>
            <color indexed="81"/>
            <rFont val="Tahoma"/>
            <family val="2"/>
          </rPr>
          <t>IHME</t>
        </r>
      </text>
    </comment>
    <comment ref="A28" authorId="0" shapeId="0" xr:uid="{00000000-0006-0000-0400-000005000000}">
      <text>
        <r>
          <rPr>
            <sz val="8"/>
            <color indexed="81"/>
            <rFont val="Tahoma"/>
            <family val="2"/>
          </rPr>
          <t>Assumed double at RF</t>
        </r>
      </text>
    </comment>
    <comment ref="A31" authorId="0" shapeId="0" xr:uid="{00000000-0006-0000-0400-000006000000}">
      <text>
        <r>
          <rPr>
            <sz val="8"/>
            <color indexed="81"/>
            <rFont val="Tahoma"/>
            <family val="2"/>
          </rPr>
          <t>IHME</t>
        </r>
      </text>
    </comment>
    <comment ref="E32" authorId="1" shapeId="0" xr:uid="{12CB34CD-85DE-406E-A340-259746717087}">
      <text>
        <r>
          <rPr>
            <b/>
            <sz val="9"/>
            <color indexed="81"/>
            <rFont val="Tahoma"/>
            <family val="2"/>
          </rPr>
          <t>Tom Walsh:</t>
        </r>
        <r>
          <rPr>
            <sz val="9"/>
            <color indexed="81"/>
            <rFont val="Tahoma"/>
            <family val="2"/>
          </rPr>
          <t xml:space="preserve">
Maternal hemorrhage (&gt; 1L blood lost) row 398</t>
        </r>
      </text>
    </comment>
    <comment ref="A34" authorId="0" shapeId="0" xr:uid="{00000000-0006-0000-0400-000007000000}">
      <text>
        <r>
          <rPr>
            <sz val="8"/>
            <color indexed="81"/>
            <rFont val="Tahoma"/>
            <family val="2"/>
          </rPr>
          <t>IHME</t>
        </r>
      </text>
    </comment>
    <comment ref="A37" authorId="0" shapeId="0" xr:uid="{CEEB5B5E-E61D-48A9-9B76-7AB4E69DC4BE}">
      <text>
        <r>
          <rPr>
            <sz val="8"/>
            <color indexed="81"/>
            <rFont val="Tahoma"/>
            <family val="2"/>
          </rPr>
          <t>Cases: to be calibrated</t>
        </r>
      </text>
    </comment>
    <comment ref="A40" authorId="0" shapeId="0" xr:uid="{0F359512-0F2F-4E9C-B000-95509786B8E5}">
      <text>
        <r>
          <rPr>
            <sz val="8"/>
            <color indexed="81"/>
            <rFont val="Tahoma"/>
            <family val="2"/>
          </rPr>
          <t>Deaths: to be calibrated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17" authorId="0" shapeId="0" xr:uid="{B5DC12A6-DD12-43C6-8EA4-22AE810FACF7}">
      <text>
        <r>
          <rPr>
            <b/>
            <sz val="9"/>
            <color indexed="81"/>
            <rFont val="Tahoma"/>
            <family val="2"/>
          </rPr>
          <t>Tom Walsh:</t>
        </r>
        <r>
          <rPr>
            <sz val="9"/>
            <color indexed="81"/>
            <rFont val="Tahoma"/>
            <family val="2"/>
          </rPr>
          <t xml:space="preserve">
Puerperal sepsis row 402</t>
        </r>
      </text>
    </comment>
    <comment ref="A19" authorId="1" shapeId="0" xr:uid="{0FEDFC32-322A-435E-8B54-EC107C60B170}">
      <text>
        <r>
          <rPr>
            <sz val="8"/>
            <color indexed="81"/>
            <rFont val="Tahoma"/>
            <family val="2"/>
          </rPr>
          <t>To be calibrated</t>
        </r>
      </text>
    </comment>
    <comment ref="A22" authorId="1" shapeId="0" xr:uid="{F730C453-627C-4FF3-AC91-628BE07C5E3B}">
      <text>
        <r>
          <rPr>
            <sz val="8"/>
            <color indexed="81"/>
            <rFont val="Tahoma"/>
            <family val="2"/>
          </rPr>
          <t>To be calibrated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02000000}">
      <text>
        <r>
          <rPr>
            <sz val="8"/>
            <color indexed="81"/>
            <rFont val="Tahoma"/>
            <family val="2"/>
          </rPr>
          <t>Source: GBD cause 370/LABOR study</t>
        </r>
      </text>
    </comment>
    <comment ref="A4" authorId="0" shapeId="0" xr:uid="{00000000-0006-0000-0700-000003000000}">
      <text>
        <r>
          <rPr>
            <sz val="8"/>
            <color indexed="81"/>
            <rFont val="Tahoma"/>
            <family val="2"/>
          </rPr>
          <t>Need data point - assume 100%</t>
        </r>
      </text>
    </comment>
    <comment ref="A7" authorId="0" shapeId="0" xr:uid="{00000000-0006-0000-0700-000004000000}">
      <text>
        <r>
          <rPr>
            <sz val="8"/>
            <color indexed="81"/>
            <rFont val="Tahoma"/>
            <family val="2"/>
          </rPr>
          <t>Calculated based on US and identified</t>
        </r>
      </text>
    </comment>
    <comment ref="A10" authorId="0" shapeId="0" xr:uid="{00000000-0006-0000-0700-000005000000}">
      <text>
        <r>
          <rPr>
            <sz val="8"/>
            <color indexed="81"/>
            <rFont val="Tahoma"/>
            <family val="2"/>
          </rPr>
          <t>Used for calibration</t>
        </r>
      </text>
    </comment>
    <comment ref="A13" authorId="0" shapeId="0" xr:uid="{00000000-0006-0000-0700-000006000000}">
      <text>
        <r>
          <rPr>
            <sz val="8"/>
            <color indexed="81"/>
            <rFont val="Tahoma"/>
            <family val="2"/>
          </rPr>
          <t>IHME</t>
        </r>
      </text>
    </comment>
    <comment ref="A16" authorId="0" shapeId="0" xr:uid="{00000000-0006-0000-0700-000007000000}">
      <text>
        <r>
          <rPr>
            <sz val="8"/>
            <color indexed="81"/>
            <rFont val="Tahoma"/>
            <family val="2"/>
          </rPr>
          <t>Double that at a referral facility</t>
        </r>
      </text>
    </comment>
    <comment ref="A31" authorId="0" shapeId="0" xr:uid="{4D965021-ACB5-498B-8F91-CC4AC0E47877}">
      <text>
        <r>
          <rPr>
            <sz val="8"/>
            <color indexed="81"/>
            <rFont val="Tahoma"/>
            <family val="2"/>
          </rPr>
          <t>Cases: to be calibrated</t>
        </r>
      </text>
    </comment>
    <comment ref="A34" authorId="0" shapeId="0" xr:uid="{A69BF632-2FD9-46A8-B427-563924310E86}">
      <text>
        <r>
          <rPr>
            <sz val="8"/>
            <color indexed="81"/>
            <rFont val="Tahoma"/>
            <family val="2"/>
          </rPr>
          <t>Deaths: to be calibrated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2000000}">
      <text>
        <r>
          <rPr>
            <sz val="8"/>
            <color indexed="81"/>
            <rFont val="Tahoma"/>
            <family val="2"/>
          </rPr>
          <t>IHME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 authorId="0" shapeId="0" xr:uid="{00000000-0006-0000-0900-000001000000}">
      <text>
        <r>
          <rPr>
            <sz val="8"/>
            <color indexed="81"/>
            <rFont val="Tahoma"/>
            <family val="2"/>
          </rPr>
          <t>To be stitched in</t>
        </r>
      </text>
    </comment>
    <comment ref="E11" authorId="1" shapeId="0" xr:uid="{E1B8E547-8C9B-4C3C-937D-A3BA529F54A3}">
      <text>
        <r>
          <rPr>
            <b/>
            <sz val="9"/>
            <color indexed="81"/>
            <rFont val="Tahoma"/>
            <family val="2"/>
          </rPr>
          <t>Tom Walsh:</t>
        </r>
        <r>
          <rPr>
            <sz val="9"/>
            <color indexed="81"/>
            <rFont val="Tahoma"/>
            <family val="2"/>
          </rPr>
          <t xml:space="preserve">
Calibrating to 0.0387808031929384</t>
        </r>
      </text>
    </comment>
    <comment ref="A22" authorId="0" shapeId="0" xr:uid="{2E38E676-20A2-4671-93E8-2503D4611789}">
      <text>
        <r>
          <rPr>
            <sz val="8"/>
            <color indexed="81"/>
            <rFont val="Tahoma"/>
            <family val="2"/>
          </rPr>
          <t>Cases: to be calibrated</t>
        </r>
      </text>
    </comment>
    <comment ref="A25" authorId="0" shapeId="0" xr:uid="{025334BF-7BEA-41B6-8436-CC67AE158C45}">
      <text>
        <r>
          <rPr>
            <sz val="8"/>
            <color indexed="81"/>
            <rFont val="Tahoma"/>
            <family val="2"/>
          </rPr>
          <t>Deaths: to be calibrated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Tom Walsh</author>
    <author/>
  </authors>
  <commentList>
    <comment ref="E2" authorId="0" shapeId="0" xr:uid="{7CD81DF7-95FF-4D93-BABE-E917734F9D15}">
      <text>
        <r>
          <rPr>
            <b/>
            <sz val="9"/>
            <color indexed="81"/>
            <rFont val="Tahoma"/>
            <family val="2"/>
          </rPr>
          <t>Tom Walsh:</t>
        </r>
        <r>
          <rPr>
            <sz val="9"/>
            <color indexed="81"/>
            <rFont val="Tahoma"/>
            <family val="2"/>
          </rPr>
          <t xml:space="preserve">
</t>
        </r>
      </text>
    </comment>
    <comment ref="E11" authorId="0" shapeId="0" xr:uid="{D3EF0735-D130-4F28-9838-44D3B5B428F6}">
      <text>
        <r>
          <rPr>
            <b/>
            <sz val="9"/>
            <color indexed="81"/>
            <rFont val="Tahoma"/>
            <family val="2"/>
          </rPr>
          <t>Tom Walsh:</t>
        </r>
        <r>
          <rPr>
            <sz val="9"/>
            <color indexed="81"/>
            <rFont val="Tahoma"/>
            <family val="2"/>
          </rPr>
          <t xml:space="preserve">
calibrating to 0.16</t>
        </r>
      </text>
    </comment>
    <comment ref="E14" authorId="0" shapeId="0" xr:uid="{ED43BB0B-172A-4BD7-85C9-969002E5EC92}">
      <text>
        <r>
          <rPr>
            <b/>
            <sz val="9"/>
            <color indexed="81"/>
            <rFont val="Tahoma"/>
            <family val="2"/>
          </rPr>
          <t>Tom Walsh:</t>
        </r>
        <r>
          <rPr>
            <sz val="9"/>
            <color indexed="81"/>
            <rFont val="Tahoma"/>
            <family val="2"/>
          </rPr>
          <t xml:space="preserve">
calibrating to 0.16</t>
        </r>
      </text>
    </comment>
    <comment ref="E17" authorId="0" shapeId="0" xr:uid="{06650AE3-5F68-4A03-82E4-BDEC7AE1B5F2}">
      <text>
        <r>
          <rPr>
            <b/>
            <sz val="9"/>
            <color indexed="81"/>
            <rFont val="Tahoma"/>
            <family val="2"/>
          </rPr>
          <t>Tom Walsh:</t>
        </r>
        <r>
          <rPr>
            <sz val="9"/>
            <color indexed="81"/>
            <rFont val="Tahoma"/>
            <family val="2"/>
          </rPr>
          <t xml:space="preserve">
calibrating to 0.101423</t>
        </r>
      </text>
    </comment>
    <comment ref="A19" authorId="1" shapeId="0" xr:uid="{E0D3F902-D117-4B9B-8017-755F7E95CF71}">
      <text>
        <r>
          <rPr>
            <sz val="8"/>
            <color indexed="81"/>
            <rFont val="Tahoma"/>
            <family val="2"/>
          </rPr>
          <t>Need data value</t>
        </r>
      </text>
    </comment>
    <comment ref="A22" authorId="1" shapeId="0" xr:uid="{00000000-0006-0000-0A00-000001000000}">
      <text>
        <r>
          <rPr>
            <sz val="8"/>
            <color indexed="81"/>
            <rFont val="Tahoma"/>
            <family val="2"/>
          </rPr>
          <t>Need data value</t>
        </r>
      </text>
    </comment>
    <comment ref="A25" authorId="1" shapeId="0" xr:uid="{00000000-0006-0000-0A00-000002000000}">
      <text>
        <r>
          <rPr>
            <sz val="8"/>
            <color indexed="81"/>
            <rFont val="Tahoma"/>
            <family val="2"/>
          </rPr>
          <t>Need data value</t>
        </r>
      </text>
    </comment>
    <comment ref="A28" authorId="1" shapeId="0" xr:uid="{784AE270-2F60-4D3B-80E3-16753FB147D3}">
      <text>
        <r>
          <rPr>
            <sz val="8"/>
            <color indexed="81"/>
            <rFont val="Tahoma"/>
            <family val="2"/>
          </rPr>
          <t>https://obgyn.onlinelibrary.wiley.com/doi/epdf/10.1111/1471-0528.12629</t>
        </r>
      </text>
    </comment>
    <comment ref="A31" authorId="1" shapeId="0" xr:uid="{82ACB1E7-F5B7-49DC-8591-420B579DBCD0}">
      <text>
        <r>
          <rPr>
            <sz val="8"/>
            <color indexed="81"/>
            <rFont val="Tahoma"/>
            <family val="2"/>
          </rPr>
          <t>https://www.tandfonline.com/doi/full/10.1080/14767058.2016.1263295</t>
        </r>
      </text>
    </comment>
    <comment ref="E44" authorId="0" shapeId="0" xr:uid="{36161D9C-96E9-41D5-8494-E9F2D5A64FCD}">
      <text>
        <r>
          <rPr>
            <b/>
            <sz val="9"/>
            <color indexed="81"/>
            <rFont val="Tahoma"/>
            <family val="2"/>
          </rPr>
          <t>Tom Walsh:</t>
        </r>
        <r>
          <rPr>
            <sz val="9"/>
            <color indexed="81"/>
            <rFont val="Tahoma"/>
            <family val="2"/>
          </rPr>
          <t xml:space="preserve">
calibrating to 0.16</t>
        </r>
      </text>
    </comment>
    <comment ref="A46" authorId="1" shapeId="0" xr:uid="{00000000-0006-0000-0A00-000003000000}">
      <text>
        <r>
          <rPr>
            <sz val="8"/>
            <color indexed="81"/>
            <rFont val="Tahoma"/>
            <family val="2"/>
          </rPr>
          <t>Need data point for calibration</t>
        </r>
      </text>
    </comment>
    <comment ref="E47" authorId="0" shapeId="0" xr:uid="{9281E252-382B-4426-8BE2-4AB09E801472}">
      <text>
        <r>
          <rPr>
            <b/>
            <sz val="9"/>
            <color indexed="81"/>
            <rFont val="Tahoma"/>
            <family val="2"/>
          </rPr>
          <t>Tom Walsh:</t>
        </r>
        <r>
          <rPr>
            <sz val="9"/>
            <color indexed="81"/>
            <rFont val="Tahoma"/>
            <family val="2"/>
          </rPr>
          <t xml:space="preserve">
calibrating to 0.16</t>
        </r>
      </text>
    </comment>
    <comment ref="A79" authorId="1" shapeId="0" xr:uid="{FBB2E2FF-D42B-4C4A-B53B-A383554CCD4D}">
      <text>
        <r>
          <rPr>
            <sz val="8"/>
            <color indexed="81"/>
            <rFont val="Tahoma"/>
            <family val="2"/>
          </rPr>
          <t>To be used in calibration</t>
        </r>
      </text>
    </comment>
    <comment ref="A82" authorId="1" shapeId="0" xr:uid="{2A6D3769-B1BF-4200-8EA3-C8804A8A2732}">
      <text>
        <r>
          <rPr>
            <sz val="8"/>
            <color indexed="81"/>
            <rFont val="Tahoma"/>
            <family val="2"/>
          </rPr>
          <t>To be used in calibration</t>
        </r>
      </text>
    </comment>
    <comment ref="A85" authorId="1" shapeId="0" xr:uid="{3C14A5A8-ECEC-4813-8A4B-358B613BFA66}">
      <text>
        <r>
          <rPr>
            <sz val="8"/>
            <color indexed="81"/>
            <rFont val="Tahoma"/>
            <family val="2"/>
          </rPr>
          <t>IHME</t>
        </r>
      </text>
    </comment>
    <comment ref="A88" authorId="1" shapeId="0" xr:uid="{C5F8C535-C2FE-4DC3-8873-389C8C91C583}">
      <text>
        <r>
          <rPr>
            <sz val="8"/>
            <color indexed="81"/>
            <rFont val="Tahoma"/>
            <family val="2"/>
          </rPr>
          <t>IHME</t>
        </r>
      </text>
    </comment>
    <comment ref="A91" authorId="1" shapeId="0" xr:uid="{1F55F16F-BE44-4D87-A5A0-44FCB396AF27}">
      <text>
        <r>
          <rPr>
            <sz val="8"/>
            <color indexed="81"/>
            <rFont val="Tahoma"/>
            <family val="2"/>
          </rPr>
          <t>IHME</t>
        </r>
      </text>
    </comment>
    <comment ref="A94" authorId="1" shapeId="0" xr:uid="{45D7E3EF-58A9-4A25-A5A6-32FB10B1567B}">
      <text>
        <r>
          <rPr>
            <sz val="8"/>
            <color indexed="81"/>
            <rFont val="Tahoma"/>
            <family val="2"/>
          </rPr>
          <t>To be calibrated</t>
        </r>
      </text>
    </comment>
    <comment ref="A97" authorId="1" shapeId="0" xr:uid="{972F7978-ADD1-4EFD-8A36-EC83732F2255}">
      <text>
        <r>
          <rPr>
            <sz val="8"/>
            <color indexed="81"/>
            <rFont val="Tahoma"/>
            <family val="2"/>
          </rPr>
          <t>To be stitched in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8"/>
            <color indexed="81"/>
            <rFont val="Tahoma"/>
            <family val="2"/>
          </rPr>
          <t>MNCH D&amp;T analysis leveraging literature, SME input, and AMANHI data</t>
        </r>
      </text>
    </comment>
    <comment ref="A10" authorId="0" shapeId="0" xr:uid="{00000000-0006-0000-0B00-000002000000}">
      <text>
        <r>
          <rPr>
            <sz val="8"/>
            <color indexed="81"/>
            <rFont val="Tahoma"/>
            <family val="2"/>
          </rPr>
          <t>Need data point for calibration</t>
        </r>
      </text>
    </comment>
    <comment ref="A13" authorId="0" shapeId="0" xr:uid="{00000000-0006-0000-0B00-000003000000}">
      <text>
        <r>
          <rPr>
            <sz val="8"/>
            <color indexed="81"/>
            <rFont val="Tahoma"/>
            <family val="2"/>
          </rPr>
          <t>Need data point for calibration</t>
        </r>
      </text>
    </comment>
    <comment ref="A19" authorId="0" shapeId="0" xr:uid="{00000000-0006-0000-0B00-000004000000}">
      <text>
        <r>
          <rPr>
            <sz val="8"/>
            <color indexed="81"/>
            <rFont val="Tahoma"/>
            <family val="2"/>
          </rPr>
          <t>MNCH D&amp;T analysis leveraging literature, SME input, and AMANHI data.  Case fatality rates vary by location</t>
        </r>
      </text>
    </comment>
    <comment ref="A22" authorId="0" shapeId="0" xr:uid="{00000000-0006-0000-0B00-000005000000}">
      <text>
        <r>
          <rPr>
            <sz val="8"/>
            <color indexed="81"/>
            <rFont val="Tahoma"/>
            <family val="2"/>
          </rPr>
          <t>MNCH D&amp;T analysis leveraging literature, SME input, and AMANHI data.  Case fatality rates vary by location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Tom Walsh</author>
  </authors>
  <commentList>
    <comment ref="A1" authorId="0" shapeId="0" xr:uid="{00000000-0006-0000-0C00-000001000000}">
      <text>
        <r>
          <rPr>
            <sz val="8"/>
            <color indexed="81"/>
            <rFont val="Tahoma"/>
            <family val="2"/>
          </rPr>
          <t>To be calibrated</t>
        </r>
      </text>
    </comment>
    <comment ref="A4" authorId="0" shapeId="0" xr:uid="{00000000-0006-0000-0C00-000002000000}">
      <text>
        <r>
          <rPr>
            <sz val="8"/>
            <color indexed="81"/>
            <rFont val="Tahoma"/>
            <family val="2"/>
          </rPr>
          <t>To be calibrated</t>
        </r>
      </text>
    </comment>
    <comment ref="A7" authorId="0" shapeId="0" xr:uid="{00000000-0006-0000-0C00-000003000000}">
      <text>
        <r>
          <rPr>
            <sz val="8"/>
            <color indexed="81"/>
            <rFont val="Tahoma"/>
            <family val="2"/>
          </rPr>
          <t>To be calibrated</t>
        </r>
      </text>
    </comment>
    <comment ref="A10" authorId="0" shapeId="0" xr:uid="{00000000-0006-0000-0C00-000004000000}">
      <text>
        <r>
          <rPr>
            <sz val="8"/>
            <color indexed="81"/>
            <rFont val="Tahoma"/>
            <family val="2"/>
          </rPr>
          <t>To be calibrated</t>
        </r>
      </text>
    </comment>
    <comment ref="A52" authorId="0" shapeId="0" xr:uid="{00000000-0006-0000-0C00-000005000000}">
      <text>
        <r>
          <rPr>
            <sz val="8"/>
            <color indexed="81"/>
            <rFont val="Tahoma"/>
            <family val="2"/>
          </rPr>
          <t>To be included in further downstream impacts</t>
        </r>
      </text>
    </comment>
    <comment ref="E56" authorId="1" shapeId="0" xr:uid="{6D424663-9FF6-41A4-9935-AA401E8113D2}">
      <text>
        <r>
          <rPr>
            <b/>
            <sz val="9"/>
            <color indexed="81"/>
            <rFont val="Tahoma"/>
            <family val="2"/>
          </rPr>
          <t>Tom Walsh:</t>
        </r>
        <r>
          <rPr>
            <sz val="9"/>
            <color indexed="81"/>
            <rFont val="Tahoma"/>
            <family val="2"/>
          </rPr>
          <t xml:space="preserve">
calibrating to 0.13</t>
        </r>
      </text>
    </comment>
    <comment ref="A64" authorId="0" shapeId="0" xr:uid="{00000000-0006-0000-0C00-000008000000}">
      <text>
        <r>
          <rPr>
            <sz val="8"/>
            <color indexed="81"/>
            <rFont val="Tahoma"/>
            <family val="2"/>
          </rPr>
          <t>To be calibrated</t>
        </r>
      </text>
    </comment>
    <comment ref="A67" authorId="0" shapeId="0" xr:uid="{00000000-0006-0000-0C00-000009000000}">
      <text>
        <r>
          <rPr>
            <sz val="8"/>
            <color indexed="81"/>
            <rFont val="Tahoma"/>
            <family val="2"/>
          </rPr>
          <t>To be calibrated</t>
        </r>
      </text>
    </comment>
    <comment ref="A70" authorId="0" shapeId="0" xr:uid="{00000000-0006-0000-0C00-00000A000000}">
      <text>
        <r>
          <rPr>
            <sz val="8"/>
            <color indexed="81"/>
            <rFont val="Tahoma"/>
            <family val="2"/>
          </rPr>
          <t>CHAIN</t>
        </r>
      </text>
    </comment>
    <comment ref="A73" authorId="0" shapeId="0" xr:uid="{00000000-0006-0000-0C00-00000B000000}">
      <text>
        <r>
          <rPr>
            <sz val="8"/>
            <color indexed="81"/>
            <rFont val="Tahoma"/>
            <family val="2"/>
          </rPr>
          <t>CHAIN</t>
        </r>
      </text>
    </comment>
    <comment ref="A76" authorId="0" shapeId="0" xr:uid="{5A83A11B-43F9-44AD-900A-8A0F5FD949B3}">
      <text>
        <r>
          <rPr>
            <sz val="8"/>
            <color indexed="81"/>
            <rFont val="Tahoma"/>
            <family val="2"/>
          </rPr>
          <t>Cross-triangulation from Ki wasting rally and assumptions from the lit</t>
        </r>
      </text>
    </comment>
    <comment ref="A79" authorId="0" shapeId="0" xr:uid="{38BE5DF5-7DF6-4979-8A3A-A856654329D6}">
      <text>
        <r>
          <rPr>
            <sz val="8"/>
            <color indexed="81"/>
            <rFont val="Tahoma"/>
            <family val="2"/>
          </rPr>
          <t>Cross-triangulation from Ki wasting rally and assumptions from the lit</t>
        </r>
      </text>
    </comment>
    <comment ref="A82" authorId="0" shapeId="0" xr:uid="{B57CCAF7-5669-48E7-8E44-E4E0452A520D}">
      <text>
        <r>
          <rPr>
            <sz val="8"/>
            <color indexed="81"/>
            <rFont val="Tahoma"/>
            <family val="2"/>
          </rPr>
          <t>To be calibrated</t>
        </r>
      </text>
    </comment>
    <comment ref="A85" authorId="0" shapeId="0" xr:uid="{D37EEACE-EAC1-4401-A281-3193B6F2D228}">
      <text>
        <r>
          <rPr>
            <sz val="8"/>
            <color indexed="81"/>
            <rFont val="Tahoma"/>
            <family val="2"/>
          </rPr>
          <t>To be calibrated</t>
        </r>
      </text>
    </comment>
    <comment ref="A88" authorId="0" shapeId="0" xr:uid="{DEF7488D-93DC-48CB-92C4-9C7B51F7E554}">
      <text>
        <r>
          <rPr>
            <sz val="8"/>
            <color indexed="81"/>
            <rFont val="Tahoma"/>
            <family val="2"/>
          </rPr>
          <t>CHAIN</t>
        </r>
      </text>
    </comment>
    <comment ref="A91" authorId="0" shapeId="0" xr:uid="{93381DDB-E0FD-4135-81B1-57234EE0385D}">
      <text>
        <r>
          <rPr>
            <sz val="8"/>
            <color indexed="81"/>
            <rFont val="Tahoma"/>
            <family val="2"/>
          </rPr>
          <t>CHAIN</t>
        </r>
      </text>
    </comment>
    <comment ref="A94" authorId="0" shapeId="0" xr:uid="{ED2C92D7-3BF3-44E9-AE1D-E59C7A0B2345}">
      <text>
        <r>
          <rPr>
            <sz val="8"/>
            <color indexed="81"/>
            <rFont val="Tahoma"/>
            <family val="2"/>
          </rPr>
          <t>Cross-triangulation from Ki wasting rally and assumptions from the lit</t>
        </r>
      </text>
    </comment>
    <comment ref="A97" authorId="0" shapeId="0" xr:uid="{019D942E-8C34-41FC-AEC9-C33B46965DB5}">
      <text>
        <r>
          <rPr>
            <sz val="8"/>
            <color indexed="81"/>
            <rFont val="Tahoma"/>
            <family val="2"/>
          </rPr>
          <t>Cross-triangulation from Ki wasting rally and assumptions from the lit</t>
        </r>
      </text>
    </comment>
    <comment ref="A109" authorId="0" shapeId="0" xr:uid="{CA852B1D-E890-4AD9-B150-82B23BA19B38}">
      <text>
        <r>
          <rPr>
            <sz val="8"/>
            <color indexed="81"/>
            <rFont val="Tahoma"/>
            <family val="2"/>
          </rPr>
          <t>To be stitched in</t>
        </r>
      </text>
    </comment>
    <comment ref="A112" authorId="0" shapeId="0" xr:uid="{0DE6B429-5052-49B2-9973-530BE3EDF63C}">
      <text>
        <r>
          <rPr>
            <sz val="8"/>
            <color indexed="81"/>
            <rFont val="Tahoma"/>
            <family val="2"/>
          </rPr>
          <t>To be stitched in</t>
        </r>
      </text>
    </comment>
    <comment ref="A115" authorId="0" shapeId="0" xr:uid="{F322AD96-FF72-4701-AD6B-91610D102DDE}">
      <text>
        <r>
          <rPr>
            <sz val="8"/>
            <color indexed="81"/>
            <rFont val="Tahoma"/>
            <family val="2"/>
          </rPr>
          <t>To be stitched in</t>
        </r>
      </text>
    </comment>
    <comment ref="A118" authorId="0" shapeId="0" xr:uid="{D2ED21DB-92BA-4502-8C69-3F34143F14EE}">
      <text>
        <r>
          <rPr>
            <sz val="8"/>
            <color indexed="81"/>
            <rFont val="Tahoma"/>
            <family val="2"/>
          </rPr>
          <t>To be stitched in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D00-000002000000}">
      <text>
        <r>
          <rPr>
            <sz val="8"/>
            <color indexed="81"/>
            <rFont val="Tahoma"/>
            <family val="2"/>
          </rPr>
          <t>To be calibrated</t>
        </r>
      </text>
    </comment>
    <comment ref="A4" authorId="0" shapeId="0" xr:uid="{00000000-0006-0000-0D00-000003000000}">
      <text>
        <r>
          <rPr>
            <sz val="8"/>
            <color indexed="81"/>
            <rFont val="Tahoma"/>
            <family val="2"/>
          </rPr>
          <t>Need data value</t>
        </r>
      </text>
    </comment>
    <comment ref="A7" authorId="0" shapeId="0" xr:uid="{A443DE74-02F0-4F00-B618-6C94EC0FC728}">
      <text>
        <r>
          <rPr>
            <sz val="8"/>
            <color indexed="81"/>
            <rFont val="Tahoma"/>
            <family val="2"/>
          </rPr>
          <t>Need data value</t>
        </r>
      </text>
    </comment>
    <comment ref="A10" authorId="0" shapeId="0" xr:uid="{73116A7D-9E2F-4AD8-A01E-FA1C30EBFF85}">
      <text>
        <r>
          <rPr>
            <sz val="8"/>
            <color indexed="81"/>
            <rFont val="Tahoma"/>
            <family val="2"/>
          </rPr>
          <t>Need data value</t>
        </r>
      </text>
    </comment>
    <comment ref="A16" authorId="0" shapeId="0" xr:uid="{C0321319-E296-4728-8249-653D1EA0EE07}">
      <text>
        <r>
          <rPr>
            <sz val="8"/>
            <color indexed="81"/>
            <rFont val="Tahoma"/>
            <family val="2"/>
          </rPr>
          <t>To be stitched in</t>
        </r>
      </text>
    </comment>
    <comment ref="A19" authorId="0" shapeId="0" xr:uid="{59B8A76C-A56E-4E49-9147-ADEF4FB77B9C}">
      <text>
        <r>
          <rPr>
            <sz val="8"/>
            <color indexed="81"/>
            <rFont val="Tahoma"/>
            <family val="2"/>
          </rPr>
          <t>To be stitched in</t>
        </r>
      </text>
    </comment>
    <comment ref="A22" authorId="0" shapeId="0" xr:uid="{4D1AD816-7C3F-4B3A-B1DD-0055C1F15A2B}">
      <text>
        <r>
          <rPr>
            <sz val="8"/>
            <color indexed="81"/>
            <rFont val="Tahoma"/>
            <family val="2"/>
          </rPr>
          <t>To be stitched in</t>
        </r>
      </text>
    </comment>
    <comment ref="A25" authorId="0" shapeId="0" xr:uid="{883180E1-B3F7-4345-A011-42B83609C2EF}">
      <text>
        <r>
          <rPr>
            <sz val="8"/>
            <color indexed="81"/>
            <rFont val="Tahoma"/>
            <family val="2"/>
          </rPr>
          <t>To be stitched in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94FC7C29-6268-486A-AA43-340112CC4853}">
      <text>
        <r>
          <rPr>
            <sz val="8"/>
            <color indexed="81"/>
            <rFont val="Tahoma"/>
            <family val="2"/>
          </rPr>
          <t>Product effect size 0.2 (TPP assumption; Duley et al. 2019 Cochrane (18% reduction))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A15BA3D3-CDF0-4572-AFD9-49E166F6945B}">
      <text>
        <r>
          <rPr>
            <sz val="8"/>
            <color indexed="81"/>
            <rFont val="Tahoma"/>
            <family val="2"/>
          </rPr>
          <t>For product coverage to determine impact in other neonatal conditions and stillbirth</t>
        </r>
      </text>
    </comment>
  </commentList>
</comments>
</file>

<file path=xl/sharedStrings.xml><?xml version="1.0" encoding="utf-8"?>
<sst xmlns="http://schemas.openxmlformats.org/spreadsheetml/2006/main" count="3314" uniqueCount="371">
  <si>
    <t>Abbreviation</t>
  </si>
  <si>
    <t>Full Name</t>
  </si>
  <si>
    <t>Population type</t>
  </si>
  <si>
    <t>anc_hm</t>
  </si>
  <si>
    <t>Antenatal care: Humans</t>
  </si>
  <si>
    <t>asx_hm</t>
  </si>
  <si>
    <t>Asphyxia: Humans</t>
  </si>
  <si>
    <t>an_hm</t>
  </si>
  <si>
    <t>Anemia: Humans</t>
  </si>
  <si>
    <t>hm_hm</t>
  </si>
  <si>
    <t>Hemorrhage: Humans</t>
  </si>
  <si>
    <t>msep_hm</t>
  </si>
  <si>
    <t>Maternal sepsis: Humans</t>
  </si>
  <si>
    <t>ol_hm</t>
  </si>
  <si>
    <t>Obstructed labor: Humans</t>
  </si>
  <si>
    <t>oth_hm</t>
  </si>
  <si>
    <t>Other neonatal conditions: Humans</t>
  </si>
  <si>
    <t>nsep_hm</t>
  </si>
  <si>
    <t>Neonatal sepsis: Humans</t>
  </si>
  <si>
    <t>pt_hm</t>
  </si>
  <si>
    <t>Preterm: Humans</t>
  </si>
  <si>
    <t>rds_hm</t>
  </si>
  <si>
    <t>RDS: Humans</t>
  </si>
  <si>
    <t>wasting_hm</t>
  </si>
  <si>
    <t>Wasting: Humans</t>
  </si>
  <si>
    <t>stunting_hm</t>
  </si>
  <si>
    <t>Stunting: Humans</t>
  </si>
  <si>
    <t>Antenatal care: Number of pregnancies that occur annually</t>
  </si>
  <si>
    <t>Provenance</t>
  </si>
  <si>
    <t>Units</t>
  </si>
  <si>
    <t>Uncertainty</t>
  </si>
  <si>
    <t>Constant</t>
  </si>
  <si>
    <t>Framework-supplied default</t>
  </si>
  <si>
    <t>Number (per year)</t>
  </si>
  <si>
    <t>OR</t>
  </si>
  <si>
    <t>Proportion that receive antenatal care at any point during pregnancy</t>
  </si>
  <si>
    <t>Proportion</t>
  </si>
  <si>
    <t>Proportion receiving antenatal care in 1st trimester</t>
  </si>
  <si>
    <t>Proportion receiving antenatal care in 2nd trimester</t>
  </si>
  <si>
    <t>Proportion receiving antenatal care in 3rd trimester</t>
  </si>
  <si>
    <t>Antenatal care: Proportion of pregnancy loss for any reason 1st trimester</t>
  </si>
  <si>
    <t>Antenatal care: Proportion of pregnancy loss for any reason 2nd trimester</t>
  </si>
  <si>
    <t>Antenatal care: Proportion of pregnancy loss for any reason 3rd trimester</t>
  </si>
  <si>
    <t>Antenatal care: Proportion of pregnant women attending ANC who received an ultrasound by 3rd trimester</t>
  </si>
  <si>
    <t>Asphyxia: Relative risk of stillbirth from obstructed labor</t>
  </si>
  <si>
    <t>Asphyxia: Relative risk of stillbirth from maternal underweight</t>
  </si>
  <si>
    <t>Asphyxia: Relative risk of stillbirth from maternal sepsis</t>
  </si>
  <si>
    <t>Relative risk of birth asphyxia from Obstructed labour</t>
  </si>
  <si>
    <t>Efficacy of asphyxia treatment on mortality</t>
  </si>
  <si>
    <t>Efficacy of asphyxia treatment on morbidity</t>
  </si>
  <si>
    <t>Relative risk of bleeding related anemia from hemorrhage</t>
  </si>
  <si>
    <t>Proportion of pregnant women that will experience anemia (total)</t>
  </si>
  <si>
    <t>Proportion of anemia cases in pregnant women that will be moderate</t>
  </si>
  <si>
    <t>Proportion of anemia cases in pregnant women that will be severe</t>
  </si>
  <si>
    <t>Proportion of pregnant women attending ANC in whom anemia will be diagnosed</t>
  </si>
  <si>
    <t>Proportion of mild anemia cases that are treated 1st trimester</t>
  </si>
  <si>
    <t>Proportion of moderate anemia cases mitigated to mild anemia via treatment after 3 months 1st trimester</t>
  </si>
  <si>
    <t>Proportion of severe anemia cases that are mitigated to moderate anemia via treatment after 3 months 1st trimester</t>
  </si>
  <si>
    <t>Proportion of mild anemia cases that are treated 2nd trimester</t>
  </si>
  <si>
    <t>Proportion of moderate anemia cases mitigated to mild anemia via treatment after 3 months 2nd trimester</t>
  </si>
  <si>
    <t>Proportion of severe anemia cases that are mitigated to moderate anemia via treatment after 3 months 2nd trimester</t>
  </si>
  <si>
    <t>Proportion with bleeding related anemia in the absence of risk factors</t>
  </si>
  <si>
    <t>Proportion of treated moderate anemia mitigated to mild anemia after 3 months postpartum</t>
  </si>
  <si>
    <t>Proportion of treated severe anemia mitigated to moderate anemia after 3 months postpartum</t>
  </si>
  <si>
    <t>Number</t>
  </si>
  <si>
    <t>Relative reduction in mortality due to hemorrhage treatment</t>
  </si>
  <si>
    <t>Relative risk of hemorrhage from severe anemia</t>
  </si>
  <si>
    <t>Relative risk of hemorrhage from obstructed labour</t>
  </si>
  <si>
    <t>Proportion of childbirth in which hemorrhage will be imminent in the absence of risk factors</t>
  </si>
  <si>
    <t>Hemorrhage: Proportion of pregnant women with a risk factor identifiable through ultrasound</t>
  </si>
  <si>
    <t>Hemorrhage: Proportion of pregnant women with a risk factor identified through ultrasound</t>
  </si>
  <si>
    <t>Hemorrhage: Proportion accepting referral</t>
  </si>
  <si>
    <t>Proportion of childbirths with hemorrhage at a facility that result in maternal mortality in the absence of intervention</t>
  </si>
  <si>
    <t>Proportion of childbirths with hemorrhage at other locations that result in maternal mortality in the absence of intervention</t>
  </si>
  <si>
    <t>Maternal sepsis: Sepsis risk in the absence of intervention</t>
  </si>
  <si>
    <t>Maternal sepsis: Proportion of cases of sepsis that result in late mortality</t>
  </si>
  <si>
    <t>Maternal sepsis: Proportion of cases of sepsis that result in mortality</t>
  </si>
  <si>
    <t>Obstructed labor: Proportion of childbirth in which obstructed labour will be imminent</t>
  </si>
  <si>
    <t>Obstructed labor: Proportion of pregnant women with a risk factor for obstructed labour identifiable through ultrasound</t>
  </si>
  <si>
    <t>Proportion of births at a referral facility that result in mortality due to obstructed labor</t>
  </si>
  <si>
    <t>Proportion of births not at a referral facility that result in mortality due to obstructed labor</t>
  </si>
  <si>
    <t>Obstructed labor: Proportion of obstructed labour births that require a c-section</t>
  </si>
  <si>
    <t>Obstructed labor: Less severe disability due to obstructed labour in referral facility (DALYs per case)</t>
  </si>
  <si>
    <t>Obstructed labor: Disability due to obstructed labour in other location (DALYs per case)</t>
  </si>
  <si>
    <t>Proportion of obstructed labor cases that will not result in stillbirth due to treatment</t>
  </si>
  <si>
    <t>Proportion of other neonatal conditions that result in mortality</t>
  </si>
  <si>
    <t>Relative risk of neonatal sepsis from maternal sepsis</t>
  </si>
  <si>
    <t>Efficacy of product for treatment of neonatal sepsis</t>
  </si>
  <si>
    <t>Proportion of childbirths in which neonatal sepsis occurs in preterm/SGA neonates in the absence of treatment in the absence of risk factors</t>
  </si>
  <si>
    <t>Proportion of childbirths in which neonatal sepsis occurs in term/AGA neonates in the absence of risk factors</t>
  </si>
  <si>
    <t>Neonatal sepsis mortality rate</t>
  </si>
  <si>
    <t>Neonatal sepsis: disability weight (DALYs per case)</t>
  </si>
  <si>
    <t>Preterm: Proportion of term births that are SGA in the absence of risk factors</t>
  </si>
  <si>
    <t>Proportion of preterm births that are SGA in the absence of risk factors</t>
  </si>
  <si>
    <t>Proportion of births that are preterm in the absence of risk factors</t>
  </si>
  <si>
    <t>Preterm: Relative risk of SGA from maternal underweight</t>
  </si>
  <si>
    <t>Relative risk of preterm from maternal underweight</t>
  </si>
  <si>
    <t>Proportion of births that are preterm</t>
  </si>
  <si>
    <t>Proportion of preterm births that are SGA</t>
  </si>
  <si>
    <t>Preterm: Proportion of term births that are SGA</t>
  </si>
  <si>
    <t>Proportion of childbirths that will be preterm sga which are identified through ultrasound</t>
  </si>
  <si>
    <t>Proportion of childbirths that will be preterm aga which are identified through ultrasound</t>
  </si>
  <si>
    <t>Preterm: Proportion of childbirths that will be term sga which are identified through ultrasound</t>
  </si>
  <si>
    <t>Preterm: Proportion of childbirths that will be term aga which are identified through ultrasound</t>
  </si>
  <si>
    <t>Proportion of cases of preterm SGA at a referral facility that result in mortality</t>
  </si>
  <si>
    <t>Proportion of cases of preterm SGA not at a referral facility that result in mortality</t>
  </si>
  <si>
    <t>Proportion of cases of preterm AGA at a referral facility that result in mortality</t>
  </si>
  <si>
    <t>Proportion of cases of preterm AGA not at a referral facility that result in mortality</t>
  </si>
  <si>
    <t>Preterm: Proportion of cases of term SGA at a referral facility that result in mortality</t>
  </si>
  <si>
    <t>Preterm: Proportion of cases of term SGA not at a referral facility that result in mortality</t>
  </si>
  <si>
    <t>RDS risk in the absence of any interventions</t>
  </si>
  <si>
    <t>RDS product efficacy</t>
  </si>
  <si>
    <t>Proportion of childbirth in which RDS occurs given preterm identified</t>
  </si>
  <si>
    <t>Proportion of childbirth in which RDS occurs given preterm not identified</t>
  </si>
  <si>
    <t>Proportion of cases of RDS in which the neonate is less than 28 weeks gestational age</t>
  </si>
  <si>
    <t>RDS mortality rate for cases at a referral facility less than 28 weeks</t>
  </si>
  <si>
    <t>RDS mortality rate for cases at a other location less than 28 weeks</t>
  </si>
  <si>
    <t>Lung surfactant efficacy on RDS mortality</t>
  </si>
  <si>
    <t>N.A.</t>
  </si>
  <si>
    <t>RDS mortality rate for cases at a other location greater than 28 weeks</t>
  </si>
  <si>
    <t>Proportion of births with severe wasting 6 to 18 months from birth in the absence of risk factors</t>
  </si>
  <si>
    <t>Proportion of births with moderate wasting 6 to 18 months from birth in the absence of risk factors</t>
  </si>
  <si>
    <t>Proportion of births with severe wasting 19 to 59 months from birth in the absence of risk factors</t>
  </si>
  <si>
    <t>Proportion of births with moderate wasting 19 to 59 months from birth in the absence of risk factors</t>
  </si>
  <si>
    <t>Relative risk of wasting from maternal underweight</t>
  </si>
  <si>
    <t>Relative risk of wasting from SGA</t>
  </si>
  <si>
    <t>Relative risk of wasting from preterm</t>
  </si>
  <si>
    <t>Relative risk of wasting from preterm SGA</t>
  </si>
  <si>
    <t>Efficacy of underweight treatment on wasting occurrence</t>
  </si>
  <si>
    <t>Efficacy of treatment on wasting relapse</t>
  </si>
  <si>
    <t>Wasting: Proportion of births that are underweight 8 days to 5 months in the absence of risk factors</t>
  </si>
  <si>
    <t>Proportion of births that result in prolonged wasting 8 days to 5 months without intervention</t>
  </si>
  <si>
    <t>Proportion of cases of wasting that result in mortality due to wasting 8 days to 5 months without intervention</t>
  </si>
  <si>
    <t>Proportion of births with severe wasting that result in hospitalized wasting 6 to 18 months from childbirth</t>
  </si>
  <si>
    <t>Proportion of births with moderate wasting that result in hospitalized wasting 6 to 18 months from childbirth</t>
  </si>
  <si>
    <t>Proportion of cases of hospitalized severe wasting that result in mortality 6 to 18 months from childbirth in the absence of intervention</t>
  </si>
  <si>
    <t>Proportion of cases of hospitalized moderate wasting that result in mortality 6 to 18 months from childbirth in the absence of intervention</t>
  </si>
  <si>
    <t>Proportion of births with severe wasting that result in hospitalized wasting 19 to 59 months from childbirth</t>
  </si>
  <si>
    <t>Proportion of births with moderate wasting that result in hospitalized wasting 19 to 59 months from childbirth</t>
  </si>
  <si>
    <t>Proportion of cases of hospitalized severe wasting that result in mortality 19 to 59 months from childbirth in the absence of intervention</t>
  </si>
  <si>
    <t>Proportion of cases of hospitalized moderate wasting that result in mortality 19 to 59 months from childbirth in the absence of intervention</t>
  </si>
  <si>
    <t>Proportion of childbirths that result in stunting in the absence of a risk factors</t>
  </si>
  <si>
    <t>Relative risk of stunting from maternal underweight</t>
  </si>
  <si>
    <t>auto_inter_ol_hm_to_asx_hm</t>
  </si>
  <si>
    <t>From population type</t>
  </si>
  <si>
    <t>To population type</t>
  </si>
  <si>
    <t>Y</t>
  </si>
  <si>
    <t>From population</t>
  </si>
  <si>
    <t>To population</t>
  </si>
  <si>
    <t>auto_inter_msep_hm_to_asx_hm</t>
  </si>
  <si>
    <t>auto_inter_anc_hm_to_an_hm</t>
  </si>
  <si>
    <t>auto_inter_hm_hm_to_an_hm</t>
  </si>
  <si>
    <t>auto_inter_anc_hm_to_hm_hm</t>
  </si>
  <si>
    <t>auto_inter_an_hm_to_hm_hm</t>
  </si>
  <si>
    <t>auto_inter_hm_hm_to_hm_hm</t>
  </si>
  <si>
    <t>auto_inter_ol_hm_to_hm_hm</t>
  </si>
  <si>
    <t>auto_inter_pt_hm_to_hm_hm</t>
  </si>
  <si>
    <t>auto_inter_msep_hm_to_hm_hm</t>
  </si>
  <si>
    <t>auto_inter_anc_hm_to_msep_hm</t>
  </si>
  <si>
    <t>auto_inter_ol_hm_to_msep_hm</t>
  </si>
  <si>
    <t>auto_inter_hm_hm_to_msep_hm</t>
  </si>
  <si>
    <t>auto_inter_msep_hm_to_msep_hm</t>
  </si>
  <si>
    <t>auto_inter_anc_hm_to_ol_hm</t>
  </si>
  <si>
    <t>auto_inter_hm_hm_to_ol_hm</t>
  </si>
  <si>
    <t>auto_inter_ol_hm_to_ol_hm</t>
  </si>
  <si>
    <t>auto_inter_pt_hm_to_ol_hm</t>
  </si>
  <si>
    <t>auto_inter_msep_hm_to_ol_hm</t>
  </si>
  <si>
    <t>auto_inter_asx_hm_to_nsep_hm</t>
  </si>
  <si>
    <t>auto_inter_msep_hm_to_nsep_hm</t>
  </si>
  <si>
    <t>auto_inter_pt_hm_to_nsep_hm</t>
  </si>
  <si>
    <t>auto_inter_anc_hm_to_pt_hm</t>
  </si>
  <si>
    <t>auto_inter_hm_hm_to_pt_hm</t>
  </si>
  <si>
    <t>auto_inter_ol_hm_to_pt_hm</t>
  </si>
  <si>
    <t>auto_inter_pt_hm_to_pt_hm</t>
  </si>
  <si>
    <t>auto_inter_msep_hm_to_pt_hm</t>
  </si>
  <si>
    <t>auto_inter_asx_hm_to_rds_hm</t>
  </si>
  <si>
    <t>auto_inter_pt_hm_to_rds_hm</t>
  </si>
  <si>
    <t>auto_inter_rds_hm_to_wasting_hm</t>
  </si>
  <si>
    <t>auto_inter_pt_hm_to_wasting_hm</t>
  </si>
  <si>
    <t>auto_inter_asx_hm_to_stunting_hm</t>
  </si>
  <si>
    <t>auto_inter_pt_hm_to_stunting_hm</t>
  </si>
  <si>
    <t>Neonatal sepsis: Proportion of preterm that is identified</t>
  </si>
  <si>
    <t>auto_inter_an_hm_to_pt_hm</t>
  </si>
  <si>
    <t>RDS: Proportion of cases of preterm that are identified</t>
  </si>
  <si>
    <t>Preterm: Relative risk of SGA from anemia</t>
  </si>
  <si>
    <t>Disability weight due to RDS morbidity</t>
  </si>
  <si>
    <t>Other neonatal conditions: Proportion of childbirth in which other neonatal condition occurs in the absence of intervention</t>
  </si>
  <si>
    <t>auto_inter_ol_hm_to_an_hm</t>
  </si>
  <si>
    <t>auto_inter_msep_hm_to_an_hm</t>
  </si>
  <si>
    <t>auto_inter_an_hm_to_an_hm</t>
  </si>
  <si>
    <t>auto_inter_an_hm_to_msep_hm</t>
  </si>
  <si>
    <t>auto_inter_an_hm_to_ol_hm</t>
  </si>
  <si>
    <t>Birth asphyxia incidence</t>
  </si>
  <si>
    <t>Asphyxia: Stillbirth incidence</t>
  </si>
  <si>
    <t>Hemorrhage: Number of incident cases</t>
  </si>
  <si>
    <t>Hemorrhage: Number of mortalities</t>
  </si>
  <si>
    <t>Maternal sepsis: Incident cases</t>
  </si>
  <si>
    <t>Maternal sepsis: Mortalities</t>
  </si>
  <si>
    <t>Obstructed labor: Incident cases</t>
  </si>
  <si>
    <t>Deaths due to obstructed labor</t>
  </si>
  <si>
    <t>Neonatal sepsis: Number of incident cases</t>
  </si>
  <si>
    <t>Number of childbirths that result in mortality due to neonatal sepsis</t>
  </si>
  <si>
    <t>Number of incident cases (preterm)</t>
  </si>
  <si>
    <t>Number of mortalities (preterm)</t>
  </si>
  <si>
    <t>Antenatal care: Proportion of births with mortality due to all childbirth conditions not captured in any module</t>
  </si>
  <si>
    <t>Antenatal care: Proportion of births at a referral facility not a result of risks detected via ultrasound (ie, those that have childbirth at a referral facility without a referral)</t>
  </si>
  <si>
    <t>Asphyxia: Proportion of births that are stillbirth in the absence of risk factors</t>
  </si>
  <si>
    <t>Asphyxia: Less severe disability due to encephalopathy (treated) (YLDs per case)</t>
  </si>
  <si>
    <t>Asphyxia: Disability due to encephalopathy (YLDs per case)</t>
  </si>
  <si>
    <t>Encephalopathy mortality due to birth asphyxia</t>
  </si>
  <si>
    <t>Disability due to mild anemia (YLDs per case)</t>
  </si>
  <si>
    <t>Disability due to moderate anemia (YLDs per case)</t>
  </si>
  <si>
    <t>Disability due to severe anemia (YLDs per case)</t>
  </si>
  <si>
    <t>Relative risk of hemorrhage from non-severe anemia</t>
  </si>
  <si>
    <t>Disability weight due to hemorrhage at a referral facility (YLDs per case)</t>
  </si>
  <si>
    <t>Disability weight due to hemorrhage in other facility (YLDs per case)</t>
  </si>
  <si>
    <t>Maternal sepsis: Post childbirth disability due to sepsis (YLDs per case)</t>
  </si>
  <si>
    <t>Proportion of pregnant women with risk factor for obstructed labor identified through ultrasound accepting referral</t>
  </si>
  <si>
    <t>Obstructed labor: Proportion of pregnant women with a risk factor for obstructed labour identified through ultrasound</t>
  </si>
  <si>
    <t>Proportion of other neonatal conditions that result in disability</t>
  </si>
  <si>
    <t>Other neonatal conditions: Incident cases</t>
  </si>
  <si>
    <t>Other neonatal conditions: Mortalities</t>
  </si>
  <si>
    <t>Proportion of cases of neonatal sepsis that result in morbidity</t>
  </si>
  <si>
    <t>Disability due to preterm SGA (YLDs per incident case)</t>
  </si>
  <si>
    <t>Disability due to preterm (YLDs per incident case)</t>
  </si>
  <si>
    <t>Preterm: Disability due to SGA (YLDs per incident case)</t>
  </si>
  <si>
    <t>Disability due to stunting (lifetime YLDs per infant)</t>
  </si>
  <si>
    <t>RDS mortality rate at referral in the absence of intervention greater than 28 weeks</t>
  </si>
  <si>
    <t>Wasting: Disability due to underweight 8d-5mo (YLDs per case)</t>
  </si>
  <si>
    <t>Disability due to wasting 6-18mo (YLDs per case)</t>
  </si>
  <si>
    <t>Disability due to wasting 19-59mo (YLDs per case)</t>
  </si>
  <si>
    <t>auto_inter_asx_hm_to_oth_hm</t>
  </si>
  <si>
    <t>Proportion of cases of no illness/community based severe wasting that result in mortality 6 to 18 months from childbirth in the absence of intervention</t>
  </si>
  <si>
    <t>Proportion of cases of no illness/community based moderate wasting that result in mortality 6 to 18 months from childbirth in the absence of intervention</t>
  </si>
  <si>
    <t>Proportion of cases of no illness/community based severe wasting that result in mortality 19 to 59 months from childbirth in the absence of intervention</t>
  </si>
  <si>
    <t>Proportion of cases of no illness/community based moderate wasting that result in mortality 19 to 59 months from childbirth in the absence of intervention</t>
  </si>
  <si>
    <t>auto_inter_anc_hm_to_asx_hm</t>
  </si>
  <si>
    <t>auto_inter_anc_hm_to_oth_hm</t>
  </si>
  <si>
    <t>auto_inter_anc_hm_to_nsep_hm</t>
  </si>
  <si>
    <t>auto_inter_anc_hm_to_rds_hm</t>
  </si>
  <si>
    <t>auto_inter_anc_hm_to_wasting_hm</t>
  </si>
  <si>
    <t>auto_inter_anc_hm_to_stunting_hm</t>
  </si>
  <si>
    <t>Antenatal care: Life expectancy</t>
  </si>
  <si>
    <t>Antenatal care: Average maternal age</t>
  </si>
  <si>
    <t>auto_inter_asx_hm_to_asx_hm</t>
  </si>
  <si>
    <t>auto_inter_nsep_hm_to_asx_hm</t>
  </si>
  <si>
    <t>auto_inter_oth_hm_to_asx_hm</t>
  </si>
  <si>
    <t>auto_inter_rds_hm_to_asx_hm</t>
  </si>
  <si>
    <t>auto_inter_stunting_hm_to_asx_hm</t>
  </si>
  <si>
    <t>auto_inter_nsep_hm_to_oth_hm</t>
  </si>
  <si>
    <t>auto_inter_oth_hm_to_oth_hm</t>
  </si>
  <si>
    <t>auto_inter_rds_hm_to_oth_hm</t>
  </si>
  <si>
    <t>auto_inter_stunting_hm_to_oth_hm</t>
  </si>
  <si>
    <t>auto_inter_nsep_hm_to_nsep_hm</t>
  </si>
  <si>
    <t>auto_inter_oth_hm_to_nsep_hm</t>
  </si>
  <si>
    <t>auto_inter_rds_hm_to_nsep_hm</t>
  </si>
  <si>
    <t>auto_inter_stunting_hm_to_nsep_hm</t>
  </si>
  <si>
    <t>auto_inter_nsep_hm_to_rds_hm</t>
  </si>
  <si>
    <t>auto_inter_oth_hm_to_rds_hm</t>
  </si>
  <si>
    <t>auto_inter_rds_hm_to_rds_hm</t>
  </si>
  <si>
    <t>auto_inter_stunting_hm_to_rds_hm</t>
  </si>
  <si>
    <t>auto_inter_nsep_hm_to_stunting_hm</t>
  </si>
  <si>
    <t>auto_inter_oth_hm_to_stunting_hm</t>
  </si>
  <si>
    <t>auto_inter_rds_hm_to_stunting_hm</t>
  </si>
  <si>
    <t>auto_inter_stunting_hm_to_stunting_hm</t>
  </si>
  <si>
    <t>auto_inter_anc_hm_to_anc_hm</t>
  </si>
  <si>
    <t>auto_inter_hm_hm_to_anc_hm</t>
  </si>
  <si>
    <t>auto_inter_ol_hm_to_anc_hm</t>
  </si>
  <si>
    <t>auto_inter_pt_hm_to_anc_hm</t>
  </si>
  <si>
    <t>Maternal sepsis: Maternal Azithromycin product coverage</t>
  </si>
  <si>
    <t>Maternal sepsis: Product risk reduction on sepsis</t>
  </si>
  <si>
    <t>Preterm: Proportion accepting referral</t>
  </si>
  <si>
    <t>Proportion of obstructed labor cases that produce birth asphyxia</t>
  </si>
  <si>
    <t>Proportion of asphyxia that result in mortality due to encephalopathy not at a referral facility</t>
  </si>
  <si>
    <t>Proportion of asphyxia that result in mortality due to encephalopathy at a referral facility</t>
  </si>
  <si>
    <t>auto_inter_pt_hm_to_asx_hm</t>
  </si>
  <si>
    <t>auto_inter_pt_hm_to_oth_hm</t>
  </si>
  <si>
    <t>auto_inter_pt_hm_to_an_hm</t>
  </si>
  <si>
    <t>Relative risk of bleeding related anemia from moderate or severe anemia during pregnancy</t>
  </si>
  <si>
    <t>Relative risk of bleeding related anemia from mild anemia during pregnancy</t>
  </si>
  <si>
    <t xml:space="preserve">Efficacy of wasting treatment on hospitalized wasting mortality 6 to 18 months </t>
  </si>
  <si>
    <t>Efficacy of wasting treatment on community based wasting mortality 6 to 18 months</t>
  </si>
  <si>
    <t>Efficacy of wasting treatment on hospitalized wasting morbidity 6 to 18 months</t>
  </si>
  <si>
    <t>Efficacy of wasting treatment on community wasting morbidity 6 to 18 months</t>
  </si>
  <si>
    <t>Efficacy of wasting treatment on hospitalized wasting mortality 19 to 59 months</t>
  </si>
  <si>
    <t>Efficacy of wasting treatment on community wasting mortality 19 to 59 months</t>
  </si>
  <si>
    <t>Efficacy of wasting treatment on hospitalized wasting morbidity 19 to 59 months</t>
  </si>
  <si>
    <t>Efficacy of wasting treatment on community wasting morbidity 19 to 59 months</t>
  </si>
  <si>
    <t>LABOR and ARC PRiSMA</t>
  </si>
  <si>
    <t>IHME</t>
  </si>
  <si>
    <t>GBD 2017. SEE IHME DATA PULL FOR # CASES, DALYS, YLDS.</t>
  </si>
  <si>
    <t>Obstructed labor: C-section coverage</t>
  </si>
  <si>
    <t>Provided in Teams channel</t>
  </si>
  <si>
    <t>Asphyxia: Reduction in stillbirth due to BEP</t>
  </si>
  <si>
    <t>auto_inter_msep_hm_to_oth_hm</t>
  </si>
  <si>
    <t>Reduction in preterm due to BEP</t>
  </si>
  <si>
    <t>Preterm: Reduction in SGA due to BEP</t>
  </si>
  <si>
    <t>Maternal sepsis: Maternal Azithromycin impact on other neonatal conditions</t>
  </si>
  <si>
    <t>Maternal sepsis: Maternal Azithromycin impact on stillbirths</t>
  </si>
  <si>
    <t>Maternal sepsis: Maternal Azithromycin pregnancy coverage for births at a referral facility</t>
  </si>
  <si>
    <t>#ignore</t>
  </si>
  <si>
    <t>Asphyxia: Prevalence of maternal underweight</t>
  </si>
  <si>
    <t>Asphyxia: Prevalence of treated maternal underweight</t>
  </si>
  <si>
    <t>Asphyxia: Relative risk of stillbirth from early onset pre-eclampsia</t>
  </si>
  <si>
    <t>Asphyxia: Relative risk of stillbirth from late onset pre-eclampsia</t>
  </si>
  <si>
    <t>Relative risk of preterm from maternal early onset pre-eclampsia</t>
  </si>
  <si>
    <t>Relative risk of preterm from maternal late onset pre-eclampsia</t>
  </si>
  <si>
    <t>Preterm: Relative risk of SGA from maternal early onset pre-eclampsia</t>
  </si>
  <si>
    <t>Preterm: Relative risk of SGA from maternal late onset pre-eclampsia</t>
  </si>
  <si>
    <t>Preeclampsia: Proportion of pregnancies in which pre-eclampsia will occur</t>
  </si>
  <si>
    <t>Preeclampsia: Proportion pre-eclampsia cases that are high risk</t>
  </si>
  <si>
    <t>Preeclampsia: Diagnostic tool sensitivity</t>
  </si>
  <si>
    <t>Preeclampsia: Prevention product efficacy</t>
  </si>
  <si>
    <t>Preeclampsia: Proportion of pregnancies with pre-eclampsia that are early onset</t>
  </si>
  <si>
    <t>Preeclampsia: Sensitivity of ANC pre-eclampsia test 2nd trimester</t>
  </si>
  <si>
    <t>Preeclampsia: Pre-eclampsia product efficacy 2nd trimester</t>
  </si>
  <si>
    <t>Preeclampsia: Mortality rate for untreated pre-eclampsia 2nd trimester</t>
  </si>
  <si>
    <t>Preeclampsia: Proportion of cases of LOPE that are severe</t>
  </si>
  <si>
    <t>Preeclampsia: Sensitivity of ANC pre-eclampsia test for severe pre-eclampsia 3rd trimester</t>
  </si>
  <si>
    <t>Preeclampsia: Sensitivity of ANC pre-eclampsia for non-severe pre-eclampsia test 3rd trimester</t>
  </si>
  <si>
    <t>Preeclampsia: Pre-eclampsia product efficacy for severe pre-eclampsia 3rd trimester</t>
  </si>
  <si>
    <t>Preeclampsia: Pre-eclampsia product efficacy for non-severe pre-eclampsia 3rd trimester</t>
  </si>
  <si>
    <t>D&amp;T primary data sources</t>
  </si>
  <si>
    <t>Model assumption</t>
  </si>
  <si>
    <t>Model assumption default</t>
  </si>
  <si>
    <t>Magee et al 2018 (PLOS Med)</t>
  </si>
  <si>
    <t>To be calibrated</t>
  </si>
  <si>
    <t>As in product effect size sheet</t>
  </si>
  <si>
    <t>Maternal nutrition: Multiple micronutrient supplement product efficacy - stillbirth</t>
  </si>
  <si>
    <t>Maternal nutrition: Multiple micronutrient supplement product efficacy - preterm</t>
  </si>
  <si>
    <t>Maternal nutrition: Multiple micronutrient supplement product efficacy - small for gestantion age</t>
  </si>
  <si>
    <t>Maternal nutrition: Multiple micronutrient supplement product efficacy - anemia</t>
  </si>
  <si>
    <t>auto_inter_mnut_hm_to_asx_hm</t>
  </si>
  <si>
    <t>mnut_hm</t>
  </si>
  <si>
    <t>auto_inter_preecl_hm_to_asx_hm</t>
  </si>
  <si>
    <t>preecl_hm</t>
  </si>
  <si>
    <t>auto_inter_mnut_hm_to_an_hm</t>
  </si>
  <si>
    <t>auto_inter_mnut_hm_to_hm_hm</t>
  </si>
  <si>
    <t>auto_inter_mnut_hm_to_msep_hm</t>
  </si>
  <si>
    <t>auto_inter_anc_hm_to_preecl_hm</t>
  </si>
  <si>
    <t>auto_inter_anc_hm_to_mnut_hm</t>
  </si>
  <si>
    <t>auto_inter_ol_hm_to_mnut_hm</t>
  </si>
  <si>
    <t>auto_inter_hm_hm_to_mnut_hm</t>
  </si>
  <si>
    <t>auto_inter_msep_hm_to_mnut_hm</t>
  </si>
  <si>
    <t>auto_inter_an_hm_to_mnut_hm</t>
  </si>
  <si>
    <t>auto_inter_mnut_hm_to_mnut_hm</t>
  </si>
  <si>
    <t>auto_inter_mnut_hm_to_ol_hm</t>
  </si>
  <si>
    <t>auto_inter_mnut_hm_to_pt_hm</t>
  </si>
  <si>
    <t>auto_inter_preecl_hm_to_pt_hm</t>
  </si>
  <si>
    <t>Preeclampsia: Humans</t>
  </si>
  <si>
    <t>Maternal nutrition: Humans</t>
  </si>
  <si>
    <t>Proportion of anemia cases in pregnant women that will be mild in the absence of risk factors</t>
  </si>
  <si>
    <t>Preterm: Proportion of births with maternal underweight</t>
  </si>
  <si>
    <t>Preterm: Prevalence of treated maternal underweight</t>
  </si>
  <si>
    <t>Wasting: Proportion of pregnancies with maternal underweight</t>
  </si>
  <si>
    <t>Wasting: Proportion of pregnancies with maternal underweight during pregnancy but not lactation</t>
  </si>
  <si>
    <t>Wasting: Proportion of pregnancies with maternal underweight during lactation but not pregnancy</t>
  </si>
  <si>
    <t>Wasting: Proportion of pregnancies with maternal underweight not treated at any stage</t>
  </si>
  <si>
    <t>Stunting: Proportion of pregnancies with maternal underweight</t>
  </si>
  <si>
    <t>Stunting: Proportion of pregnancies with maternal underweight during pregnancy but not lactation</t>
  </si>
  <si>
    <t>Stunting: Proportion of pregnancies with maternal underweight during lactation but not pregnancy</t>
  </si>
  <si>
    <t>Stunting: Proportion of pregnancies with maternal underweight not treated at any stage</t>
  </si>
  <si>
    <t>Disability weight due to preeclampsia</t>
  </si>
  <si>
    <t>GBD</t>
  </si>
  <si>
    <t>Preeclampsia: Mortality rate for untreated non-severe pre-eclampsia 3rd trimester</t>
  </si>
  <si>
    <t>Relative risk of stunting from preterm</t>
  </si>
  <si>
    <t>Relative risk of stunting from SGA</t>
  </si>
  <si>
    <t>Neonatal sepsis: B. Infantis product efficacy on stunting</t>
  </si>
  <si>
    <t>MNCH D&amp;T analysis leveraging literature, SME input, and AMANHI data.  Case fatality rates vary by location</t>
  </si>
  <si>
    <t>https://data.un.org/Data.aspx?d=PopDiv&amp;f=variableID%3A68</t>
  </si>
  <si>
    <t>https://population.un.org/dataportal/data/indicators/18/locations/1859,5504,1500,1501,5501,947/start/2024/end/2024/table/pivotbylocation?df=e8b7480d-00b9-4d06-b2da-e18447d1ab33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</si>
</sst>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sz val="8"/>
      <color indexed="81"/>
      <name val="Tahoma"/>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sz val="11"/>
      <color rgb="FF9C6500"/>
      <name val="Calibri"/>
      <family val="2"/>
      <scheme val="minor"/>
    </font>
    <font>
      <sz val="9"/>
      <color indexed="81"/>
      <name val="Tahoma"/>
      <family val="2"/>
    </font>
    <font>
      <b/>
      <sz val="9"/>
      <color indexed="81"/>
      <name val="Tahoma"/>
      <family val="2"/>
    </font>
    <font>
      <sz val="11"/>
      <color rgb="FF000000"/>
      <name val="Courier New"/>
      <family val="3"/>
    </font>
    <font>
      <sz val="11"/>
      <color rgb="FF444444"/>
      <name val="Calibri"/>
      <family val="2"/>
      <scheme val="minor"/>
    </font>
    <font>
      <sz val="11"/>
      <color theme="1"/>
      <name val="Segoe UI"/>
      <family val="2"/>
    </font>
    <font>
      <b/>
      <sz val="11"/>
      <name val="Calibri"/>
      <family val="2"/>
      <scheme val="minor"/>
    </font>
    <font>
      <sz val="11"/>
      <name val="Cambria"/>
      <family val="2"/>
      <scheme val="major"/>
    </font>
  </fonts>
  <fills count="42">
    <fill>
      <patternFill patternType="none"/>
    </fill>
    <fill>
      <patternFill patternType="gray125"/>
    </fill>
    <fill>
      <patternFill patternType="solid">
        <fgColor rgb="FF98E0FA"/>
        <bgColor indexed="64"/>
      </patternFill>
    </fill>
    <fill>
      <patternFill patternType="solid">
        <fgColor rgb="FFEEEEEE"/>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rgb="FF000000"/>
      </patternFill>
    </fill>
    <fill>
      <patternFill patternType="solid">
        <fgColor theme="2"/>
        <bgColor indexed="64"/>
      </patternFill>
    </fill>
    <fill>
      <patternFill patternType="solid">
        <fgColor rgb="FFE2EFDA"/>
        <bgColor rgb="FF000000"/>
      </patternFill>
    </fill>
    <fill>
      <patternFill patternType="solid">
        <fgColor theme="6"/>
        <bgColor indexed="64"/>
      </patternFill>
    </fill>
    <fill>
      <patternFill patternType="solid">
        <fgColor rgb="FFE7E6E6"/>
        <bgColor rgb="FF000000"/>
      </patternFill>
    </fill>
    <fill>
      <patternFill patternType="solid">
        <fgColor theme="9" tint="0.59999389629810485"/>
        <bgColor indexed="64"/>
      </patternFill>
    </fill>
    <fill>
      <patternFill patternType="solid">
        <fgColor rgb="FFFFC000"/>
        <bgColor indexed="64"/>
      </patternFill>
    </fill>
  </fills>
  <borders count="12">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4" fillId="0" borderId="0" applyNumberFormat="0" applyFill="0" applyBorder="0" applyAlignment="0" applyProtection="0"/>
    <xf numFmtId="0" fontId="5" fillId="0" borderId="3" applyNumberFormat="0" applyFill="0" applyAlignment="0" applyProtection="0"/>
    <xf numFmtId="0" fontId="6" fillId="0" borderId="4" applyNumberFormat="0" applyFill="0" applyAlignment="0" applyProtection="0"/>
    <xf numFmtId="0" fontId="7" fillId="0" borderId="5" applyNumberFormat="0" applyFill="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7" borderId="6" applyNumberFormat="0" applyAlignment="0" applyProtection="0"/>
    <xf numFmtId="0" fontId="11" fillId="8" borderId="7" applyNumberFormat="0" applyAlignment="0" applyProtection="0"/>
    <xf numFmtId="0" fontId="12" fillId="8" borderId="6" applyNumberFormat="0" applyAlignment="0" applyProtection="0"/>
    <xf numFmtId="0" fontId="13" fillId="0" borderId="8" applyNumberFormat="0" applyFill="0" applyAlignment="0" applyProtection="0"/>
    <xf numFmtId="0" fontId="14" fillId="9" borderId="9" applyNumberFormat="0" applyAlignment="0" applyProtection="0"/>
    <xf numFmtId="0" fontId="15" fillId="0" borderId="0" applyNumberFormat="0" applyFill="0" applyBorder="0" applyAlignment="0" applyProtection="0"/>
    <xf numFmtId="0" fontId="3" fillId="10" borderId="10" applyNumberFormat="0" applyFont="0" applyAlignment="0" applyProtection="0"/>
    <xf numFmtId="0" fontId="16" fillId="0" borderId="0" applyNumberFormat="0" applyFill="0" applyBorder="0" applyAlignment="0" applyProtection="0"/>
    <xf numFmtId="0" fontId="1" fillId="0" borderId="11" applyNumberFormat="0" applyFill="0" applyAlignment="0" applyProtection="0"/>
    <xf numFmtId="0" fontId="17"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7"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17"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17"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7"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7"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9" fillId="6" borderId="0" applyNumberFormat="0" applyBorder="0" applyAlignment="0" applyProtection="0"/>
    <xf numFmtId="0" fontId="17" fillId="14" borderId="0" applyNumberFormat="0" applyBorder="0" applyAlignment="0" applyProtection="0"/>
    <xf numFmtId="0" fontId="17" fillId="18" borderId="0" applyNumberFormat="0" applyBorder="0" applyAlignment="0" applyProtection="0"/>
    <xf numFmtId="0" fontId="17" fillId="22" borderId="0" applyNumberFormat="0" applyBorder="0" applyAlignment="0" applyProtection="0"/>
    <xf numFmtId="0" fontId="17" fillId="26" borderId="0" applyNumberFormat="0" applyBorder="0" applyAlignment="0" applyProtection="0"/>
    <xf numFmtId="0" fontId="17" fillId="30" borderId="0" applyNumberFormat="0" applyBorder="0" applyAlignment="0" applyProtection="0"/>
    <xf numFmtId="0" fontId="17" fillId="34" borderId="0" applyNumberFormat="0" applyBorder="0" applyAlignment="0" applyProtection="0"/>
  </cellStyleXfs>
  <cellXfs count="44">
    <xf numFmtId="0" fontId="0" fillId="0" borderId="0" xfId="0"/>
    <xf numFmtId="0" fontId="1" fillId="0" borderId="0" xfId="0" applyFont="1" applyAlignment="1">
      <alignment horizontal="center"/>
    </xf>
    <xf numFmtId="0" fontId="0" fillId="2" borderId="1" xfId="0" applyFill="1" applyBorder="1" applyProtection="1">
      <protection locked="0"/>
    </xf>
    <xf numFmtId="0" fontId="0" fillId="3" borderId="2" xfId="0" applyFill="1" applyBorder="1"/>
    <xf numFmtId="0" fontId="0" fillId="0" borderId="0" xfId="0" applyAlignment="1">
      <alignment horizontal="center"/>
    </xf>
    <xf numFmtId="0" fontId="0" fillId="2" borderId="1" xfId="0" applyFill="1" applyBorder="1" applyAlignment="1" applyProtection="1">
      <alignment horizontal="center"/>
      <protection locked="0"/>
    </xf>
    <xf numFmtId="10" fontId="18" fillId="35" borderId="0" xfId="0" applyNumberFormat="1" applyFont="1" applyFill="1" applyAlignment="1">
      <alignment horizontal="left" wrapText="1"/>
    </xf>
    <xf numFmtId="0" fontId="18" fillId="0" borderId="0" xfId="0" applyFont="1" applyAlignment="1">
      <alignment horizontal="left" wrapText="1"/>
    </xf>
    <xf numFmtId="0" fontId="1" fillId="36" borderId="0" xfId="0" applyFont="1" applyFill="1" applyAlignment="1">
      <alignment horizontal="center"/>
    </xf>
    <xf numFmtId="0" fontId="0" fillId="36" borderId="0" xfId="0" applyFill="1"/>
    <xf numFmtId="0" fontId="0" fillId="36" borderId="2" xfId="0" applyFill="1" applyBorder="1"/>
    <xf numFmtId="0" fontId="0" fillId="36" borderId="0" xfId="0" applyFill="1" applyAlignment="1">
      <alignment horizontal="center"/>
    </xf>
    <xf numFmtId="0" fontId="18" fillId="0" borderId="0" xfId="0" applyFont="1"/>
    <xf numFmtId="9" fontId="0" fillId="3" borderId="2" xfId="0" applyNumberFormat="1" applyFill="1" applyBorder="1"/>
    <xf numFmtId="9" fontId="18" fillId="0" borderId="0" xfId="0" applyNumberFormat="1" applyFont="1" applyAlignment="1">
      <alignment horizontal="left" wrapText="1"/>
    </xf>
    <xf numFmtId="0" fontId="22" fillId="0" borderId="0" xfId="0" applyFont="1" applyAlignment="1">
      <alignment horizontal="left" vertical="center"/>
    </xf>
    <xf numFmtId="9" fontId="18" fillId="37" borderId="0" xfId="0" applyNumberFormat="1" applyFont="1" applyFill="1" applyAlignment="1">
      <alignment horizontal="left" wrapText="1"/>
    </xf>
    <xf numFmtId="0" fontId="1" fillId="38" borderId="0" xfId="0" applyFont="1" applyFill="1" applyAlignment="1">
      <alignment horizontal="center"/>
    </xf>
    <xf numFmtId="0" fontId="0" fillId="38" borderId="0" xfId="0" applyFill="1"/>
    <xf numFmtId="9" fontId="18" fillId="0" borderId="0" xfId="0" applyNumberFormat="1" applyFont="1"/>
    <xf numFmtId="10" fontId="18" fillId="0" borderId="0" xfId="0" applyNumberFormat="1" applyFont="1" applyAlignment="1">
      <alignment wrapText="1"/>
    </xf>
    <xf numFmtId="3" fontId="24" fillId="0" borderId="0" xfId="0" applyNumberFormat="1" applyFont="1" applyAlignment="1">
      <alignment horizontal="left" vertical="center" wrapText="1"/>
    </xf>
    <xf numFmtId="10" fontId="22" fillId="0" borderId="0" xfId="0" applyNumberFormat="1" applyFont="1" applyAlignment="1">
      <alignment horizontal="left" vertical="center"/>
    </xf>
    <xf numFmtId="0" fontId="18" fillId="0" borderId="0" xfId="0" applyFont="1" applyAlignment="1">
      <alignment wrapText="1"/>
    </xf>
    <xf numFmtId="0" fontId="1" fillId="0" borderId="0" xfId="0" applyFont="1" applyAlignment="1">
      <alignment horizontal="center" vertical="center"/>
    </xf>
    <xf numFmtId="0" fontId="18" fillId="0" borderId="0" xfId="0" applyFont="1" applyAlignment="1">
      <alignment horizontal="left" vertical="center" wrapText="1"/>
    </xf>
    <xf numFmtId="0" fontId="25" fillId="0" borderId="0" xfId="0" applyFont="1" applyAlignment="1">
      <alignment horizontal="center"/>
    </xf>
    <xf numFmtId="0" fontId="0" fillId="3" borderId="0" xfId="0" applyFill="1"/>
    <xf numFmtId="0" fontId="18" fillId="39" borderId="0" xfId="0" applyFont="1" applyFill="1"/>
    <xf numFmtId="0" fontId="0" fillId="40" borderId="0" xfId="0" applyFill="1"/>
    <xf numFmtId="10" fontId="26" fillId="0" borderId="0" xfId="0" applyNumberFormat="1" applyFont="1" applyAlignment="1">
      <alignment horizontal="right" vertical="center"/>
    </xf>
    <xf numFmtId="10" fontId="23" fillId="41" borderId="0" xfId="0" applyNumberFormat="1" applyFont="1" applyFill="1"/>
    <xf numFmtId="0" fontId="15" fillId="0" borderId="0" xfId="0" applyFont="1" applyAlignment="1">
      <alignment horizontal="center" wrapText="1"/>
    </xf>
    <xf numFmtId="9" fontId="18" fillId="0" borderId="0" xfId="0" applyNumberFormat="1" applyFont="1" applyFill="1" applyAlignment="1">
      <alignment horizontal="left" wrapText="1"/>
    </xf>
    <xf numFmtId="0" fontId="1" fillId="0" borderId="0" xfId="0" applyFont="1" applyFill="1" applyAlignment="1">
      <alignment horizontal="center"/>
    </xf>
    <xf numFmtId="0" fontId="0" fillId="0" borderId="0" xfId="0" applyFill="1"/>
    <xf numFmtId="0" fontId="0" fillId="0" borderId="2" xfId="0" applyFill="1" applyBorder="1"/>
    <xf numFmtId="0" fontId="18" fillId="0" borderId="0" xfId="0" applyFont="1" applyFill="1"/>
    <xf numFmtId="0" fontId="0" fillId="0" borderId="0" xfId="0" applyFill="1" applyAlignment="1">
      <alignment horizontal="center"/>
    </xf>
    <xf numFmtId="0" fontId="22" fillId="0" borderId="0" xfId="0" applyFont="1" applyFill="1" applyAlignment="1">
      <alignment horizontal="left" vertical="center"/>
    </xf>
    <xf numFmtId="0" fontId="18" fillId="0" borderId="0" xfId="0" applyFont="1" applyFill="1" applyAlignment="1">
      <alignment horizontal="left" wrapText="1"/>
    </xf>
    <xf numFmtId="0" fontId="0" fillId="0" borderId="1" xfId="0" applyFill="1" applyBorder="1" applyProtection="1">
      <protection locked="0"/>
    </xf>
    <xf numFmtId="10" fontId="18" fillId="0" borderId="0" xfId="0" applyNumberFormat="1" applyFont="1" applyFill="1" applyAlignment="1">
      <alignment horizontal="left" wrapText="1"/>
    </xf>
    <xf numFmtId="0" fontId="15" fillId="0" borderId="0" xfId="0" applyFont="1" applyFill="1"/>
  </cellXfs>
  <cellStyles count="4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xr:uid="{3215332D-800C-4059-8F99-A53B75B39D8A}"/>
    <cellStyle name="60% - Accent2 2" xfId="37" xr:uid="{404C9AED-A609-42FE-BE1B-57676C87A37F}"/>
    <cellStyle name="60% - Accent3 2" xfId="38" xr:uid="{A6C6C2EB-61F0-4ED3-9F66-DC4CCDAC8A41}"/>
    <cellStyle name="60% - Accent4 2" xfId="39" xr:uid="{5C04267E-AA67-4158-B8C3-DCF61A1A6954}"/>
    <cellStyle name="60% - Accent5 2" xfId="40" xr:uid="{4AE685FA-359F-47C0-91E8-E687842A7D65}"/>
    <cellStyle name="60% - Accent6 2" xfId="41" xr:uid="{2AEEB99F-9E83-41E9-B183-1CCD9AD0B889}"/>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xr:uid="{470D5A44-C0E0-4879-B219-2C088ECD47F1}"/>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766">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824.xlsx" TargetMode="External"/><Relationship Id="rId1" Type="http://schemas.openxmlformats.org/officeDocument/2006/relationships/externalLinkPath" Target="https://burnetinstitute.sharepoint.com/sites/WG-Modelling-BMGFIPM/Shared%20Documents/IPM%20models/MNCH%202023/Books/Modules/MNCHdt%20-%20stitched%20databook_DRAFT_202308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Shared%20drives\BMGF%20-%20IPM%20Valuation%20Tool\IPM%20models\MNCH%202021\Books\Modules\MNCHdt%20-%20stitched%20databook_DRAFT_202208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Shared%20drives\BMGF%20-%20IPM%20Valuation%20Tool\IPM%20models\MNCH%202021\Books\Modules\MNCHdt%20-%20stitched%20databook_DRAFT_2022081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823.xlsx" TargetMode="External"/><Relationship Id="rId1" Type="http://schemas.openxmlformats.org/officeDocument/2006/relationships/externalLinkPath" Target="https://burnetinstitute.sharepoint.com/sites/WG-Modelling-BMGFIPM/Shared%20Documents/IPM%20models/MNCH%202023/Books/Modules/MNCHdt%20-%20stitched%20databook_DRAFT_202308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Shared%20drives\BMGF%20-%20IPM%20Valuation%20Tool\IPM%20models\MNCH%202023\Books\Modules\MNCHdt%20-%20stitched%20databook_DRAFT_20230619.xlsx" TargetMode="External"/><Relationship Id="rId1" Type="http://schemas.openxmlformats.org/officeDocument/2006/relationships/externalLinkPath" Target="file:///G:\Shared%20drives\BMGF%20-%20IPM%20Valuation%20Tool\IPM%20models\MNCH%202023\Books\Modules\MNCHdt%20-%20stitched%20databook_DRAFT_20230619.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Tom.walsh\Burnet%20Institute\WG-Modelling-BMGF%20IPM%20-%20Documents\IPM%20models\MNCH%202023\Books\Modules\MNCHdt%20-%20stitched%20databook_DRAFT_20230825.xlsx" TargetMode="External"/><Relationship Id="rId1" Type="http://schemas.openxmlformats.org/officeDocument/2006/relationships/externalLinkPath" Target="/Users/Tom.walsh/Burnet%20Institute/WG-Modelling-BMGF%20IPM%20-%20Documents/IPM%20models/MNCH%202023/Books/Modules/MNCHdt%20-%20stitched%20databook_DRAFT_20230825.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burnetinstitute.sharepoint.com/sites/WG-Modelling-BMGFIPM/Shared%20Documents/IPM%20models/MNCH%202023/Books/Modules/MNCHdt%20-%20stitched%20databook_DRAFT_20230904.xlsx" TargetMode="External"/><Relationship Id="rId1" Type="http://schemas.openxmlformats.org/officeDocument/2006/relationships/externalLinkPath" Target="https://burnetinstitute.sharepoint.com/sites/WG-Modelling-BMGFIPM/Shared%20Documents/IPM%20models/MNCH%202023/Books/Modules/MNCHdt%20-%20stitched%20databook_DRAFT_202309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3">
          <cell r="A3" t="str">
            <v>asx_hm</v>
          </cell>
        </row>
        <row r="7">
          <cell r="A7" t="str">
            <v>preecl_hm</v>
          </cell>
        </row>
        <row r="8">
          <cell r="A8" t="str">
            <v>mnut_hm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Definitions"/>
      <sheetName val="Antenatal care"/>
      <sheetName val="Asphyxia"/>
      <sheetName val="Anemia"/>
      <sheetName val="Hemorrhage"/>
      <sheetName val="Maternal sepsis"/>
      <sheetName val="Maternal underweight"/>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2">
          <cell r="A2" t="str">
            <v>anc_hm</v>
          </cell>
        </row>
        <row r="3">
          <cell r="A3" t="str">
            <v>asx_hm</v>
          </cell>
        </row>
        <row r="5">
          <cell r="A5" t="str">
            <v>hm_hm</v>
          </cell>
        </row>
        <row r="6">
          <cell r="A6" t="str">
            <v>msep_hm</v>
          </cell>
        </row>
        <row r="8">
          <cell r="A8" t="str">
            <v>ol_hm</v>
          </cell>
        </row>
        <row r="11">
          <cell r="A11" t="str">
            <v>pt_hm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ulation Definitions"/>
      <sheetName val="Antenatal care"/>
      <sheetName val="Asphyxia"/>
      <sheetName val="Anemia"/>
      <sheetName val="Hemorrhage"/>
      <sheetName val="Maternal sepsis"/>
      <sheetName val="Maternal underweight"/>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2">
          <cell r="A2" t="str">
            <v>anc_hm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3">
          <cell r="A3" t="str">
            <v>asx_hm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emia"/>
      <sheetName val="Antenatal care"/>
      <sheetName val="Hemorrhage"/>
      <sheetName val="Obstructed labor"/>
      <sheetName val="Maternal sepsis"/>
      <sheetName val="Maternal underweight"/>
      <sheetName val="RDS"/>
      <sheetName val="Preterm"/>
      <sheetName val="Asphyxia"/>
      <sheetName val="Neonatal sepsis"/>
      <sheetName val="Other neonatal conditions"/>
      <sheetName val="Stunting"/>
      <sheetName val="Wasting"/>
      <sheetName val="Other infant conditions"/>
      <sheetName val="Stitching"/>
      <sheetName val="Interactions"/>
    </sheetNames>
    <sheetDataSet>
      <sheetData sheetId="0">
        <row r="6">
          <cell r="A6" t="str">
            <v>msep_hm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efreshError="1">
        <row r="7">
          <cell r="A7" t="str">
            <v>preecl_hm</v>
          </cell>
        </row>
        <row r="12">
          <cell r="A12" t="str">
            <v>pt_hm</v>
          </cell>
        </row>
        <row r="14">
          <cell r="A14" t="str">
            <v>wasting_hm</v>
          </cell>
        </row>
        <row r="15">
          <cell r="A15" t="str">
            <v>stunting_hm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pulation Definitions"/>
      <sheetName val="Antenatal care"/>
      <sheetName val="Asphyxia"/>
      <sheetName val="Anemia"/>
      <sheetName val="Hemorrhage"/>
      <sheetName val="Maternal sepsis"/>
      <sheetName val="Preeclampsia"/>
      <sheetName val="Maternal nutrition"/>
      <sheetName val="Obstructed labor"/>
      <sheetName val="Other neonatal conditions"/>
      <sheetName val="Neonatal sepsis"/>
      <sheetName val="Preterm"/>
      <sheetName val="RDS"/>
      <sheetName val="Wasting"/>
      <sheetName val="Stunting"/>
      <sheetName val="Stitching"/>
      <sheetName val="Interactions"/>
    </sheetNames>
    <sheetDataSet>
      <sheetData sheetId="0">
        <row r="2">
          <cell r="A2" t="str">
            <v>anc_hm</v>
          </cell>
        </row>
        <row r="3">
          <cell r="A3" t="str">
            <v>asx_hm</v>
          </cell>
        </row>
        <row r="4">
          <cell r="A4" t="str">
            <v>an_hm</v>
          </cell>
        </row>
        <row r="5">
          <cell r="A5" t="str">
            <v>hm_hm</v>
          </cell>
        </row>
        <row r="6">
          <cell r="A6" t="str">
            <v>msep_hm</v>
          </cell>
        </row>
        <row r="7">
          <cell r="A7" t="str">
            <v>preecl_hm</v>
          </cell>
        </row>
        <row r="8">
          <cell r="A8" t="str">
            <v>mnut_hm</v>
          </cell>
        </row>
        <row r="9">
          <cell r="A9" t="str">
            <v>ol_hm</v>
          </cell>
        </row>
        <row r="10">
          <cell r="A10" t="str">
            <v>oth_hm</v>
          </cell>
        </row>
        <row r="11">
          <cell r="A11" t="str">
            <v>nsep_hm</v>
          </cell>
        </row>
        <row r="12">
          <cell r="A12" t="str">
            <v>pt_hm</v>
          </cell>
        </row>
        <row r="13">
          <cell r="A13" t="str">
            <v>rds_hm</v>
          </cell>
        </row>
        <row r="14">
          <cell r="A14" t="str">
            <v>wasting_hm</v>
          </cell>
        </row>
        <row r="15">
          <cell r="A15" t="str">
            <v>stunting_hm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15"/>
  <sheetViews>
    <sheetView workbookViewId="0">
      <selection sqref="A1:C15"/>
    </sheetView>
  </sheetViews>
  <sheetFormatPr defaultRowHeight="14.5" x14ac:dyDescent="0.35"/>
  <cols>
    <col min="1" max="1" width="14.81640625" customWidth="1"/>
    <col min="2" max="2" width="38" customWidth="1"/>
    <col min="3" max="3" width="18.26953125" customWidth="1"/>
  </cols>
  <sheetData>
    <row r="1" spans="1:3" x14ac:dyDescent="0.35">
      <c r="A1" s="1" t="s">
        <v>0</v>
      </c>
      <c r="B1" s="1" t="s">
        <v>1</v>
      </c>
      <c r="C1" s="1" t="s">
        <v>2</v>
      </c>
    </row>
    <row r="2" spans="1:3" x14ac:dyDescent="0.35">
      <c r="A2" s="2" t="s">
        <v>3</v>
      </c>
      <c r="B2" s="2" t="s">
        <v>4</v>
      </c>
      <c r="C2" s="3" t="s">
        <v>3</v>
      </c>
    </row>
    <row r="3" spans="1:3" x14ac:dyDescent="0.35">
      <c r="A3" s="2" t="s">
        <v>5</v>
      </c>
      <c r="B3" s="2" t="s">
        <v>6</v>
      </c>
      <c r="C3" s="3" t="s">
        <v>5</v>
      </c>
    </row>
    <row r="4" spans="1:3" x14ac:dyDescent="0.35">
      <c r="A4" s="2" t="s">
        <v>7</v>
      </c>
      <c r="B4" s="2" t="s">
        <v>8</v>
      </c>
      <c r="C4" s="3" t="s">
        <v>7</v>
      </c>
    </row>
    <row r="5" spans="1:3" x14ac:dyDescent="0.35">
      <c r="A5" s="2" t="s">
        <v>9</v>
      </c>
      <c r="B5" s="2" t="s">
        <v>10</v>
      </c>
      <c r="C5" s="3" t="s">
        <v>9</v>
      </c>
    </row>
    <row r="6" spans="1:3" x14ac:dyDescent="0.35">
      <c r="A6" s="2" t="s">
        <v>11</v>
      </c>
      <c r="B6" s="2" t="s">
        <v>12</v>
      </c>
      <c r="C6" s="3" t="s">
        <v>11</v>
      </c>
    </row>
    <row r="7" spans="1:3" x14ac:dyDescent="0.35">
      <c r="A7" s="2" t="s">
        <v>335</v>
      </c>
      <c r="B7" s="2" t="s">
        <v>349</v>
      </c>
      <c r="C7" s="3" t="s">
        <v>335</v>
      </c>
    </row>
    <row r="8" spans="1:3" x14ac:dyDescent="0.35">
      <c r="A8" s="2" t="s">
        <v>333</v>
      </c>
      <c r="B8" s="2" t="s">
        <v>350</v>
      </c>
      <c r="C8" s="3" t="s">
        <v>333</v>
      </c>
    </row>
    <row r="9" spans="1:3" x14ac:dyDescent="0.35">
      <c r="A9" s="2" t="s">
        <v>13</v>
      </c>
      <c r="B9" s="2" t="s">
        <v>14</v>
      </c>
      <c r="C9" s="3" t="s">
        <v>13</v>
      </c>
    </row>
    <row r="10" spans="1:3" x14ac:dyDescent="0.35">
      <c r="A10" s="2" t="s">
        <v>15</v>
      </c>
      <c r="B10" s="2" t="s">
        <v>16</v>
      </c>
      <c r="C10" s="3" t="s">
        <v>15</v>
      </c>
    </row>
    <row r="11" spans="1:3" x14ac:dyDescent="0.35">
      <c r="A11" s="2" t="s">
        <v>17</v>
      </c>
      <c r="B11" s="2" t="s">
        <v>18</v>
      </c>
      <c r="C11" s="3" t="s">
        <v>17</v>
      </c>
    </row>
    <row r="12" spans="1:3" x14ac:dyDescent="0.35">
      <c r="A12" s="2" t="s">
        <v>19</v>
      </c>
      <c r="B12" s="2" t="s">
        <v>20</v>
      </c>
      <c r="C12" s="3" t="s">
        <v>19</v>
      </c>
    </row>
    <row r="13" spans="1:3" x14ac:dyDescent="0.35">
      <c r="A13" s="2" t="s">
        <v>21</v>
      </c>
      <c r="B13" s="2" t="s">
        <v>22</v>
      </c>
      <c r="C13" s="3" t="s">
        <v>21</v>
      </c>
    </row>
    <row r="14" spans="1:3" x14ac:dyDescent="0.35">
      <c r="A14" s="2" t="s">
        <v>23</v>
      </c>
      <c r="B14" s="2" t="s">
        <v>24</v>
      </c>
      <c r="C14" s="3" t="s">
        <v>23</v>
      </c>
    </row>
    <row r="15" spans="1:3" x14ac:dyDescent="0.35">
      <c r="A15" s="2" t="s">
        <v>25</v>
      </c>
      <c r="B15" s="2" t="s">
        <v>26</v>
      </c>
      <c r="C15" s="3"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AK40"/>
  <sheetViews>
    <sheetView zoomScaleNormal="100" workbookViewId="0">
      <selection activeCell="B21" sqref="B21"/>
    </sheetView>
  </sheetViews>
  <sheetFormatPr defaultRowHeight="14.5" x14ac:dyDescent="0.35"/>
  <cols>
    <col min="1" max="1" width="92.1796875" customWidth="1"/>
    <col min="2" max="2" width="30.26953125" customWidth="1"/>
    <col min="3" max="3" width="20.453125" customWidth="1"/>
    <col min="4" max="4" width="13.81640625" customWidth="1"/>
    <col min="5" max="5" width="10.54296875" customWidth="1"/>
    <col min="6" max="6" width="3.81640625" customWidth="1"/>
    <col min="7" max="12" width="9.453125" customWidth="1"/>
  </cols>
  <sheetData>
    <row r="1" spans="1:37" x14ac:dyDescent="0.35">
      <c r="A1" s="1" t="s">
        <v>27</v>
      </c>
      <c r="B1" s="1" t="s">
        <v>28</v>
      </c>
      <c r="C1" s="1" t="s">
        <v>29</v>
      </c>
      <c r="D1" s="1" t="s">
        <v>30</v>
      </c>
      <c r="E1" s="1" t="s">
        <v>31</v>
      </c>
      <c r="F1" s="1"/>
      <c r="G1" s="1">
        <v>2020</v>
      </c>
      <c r="H1" s="1">
        <v>2021</v>
      </c>
      <c r="I1" s="1">
        <v>2022</v>
      </c>
      <c r="J1" s="1">
        <v>2023</v>
      </c>
      <c r="K1" s="1">
        <v>2024</v>
      </c>
      <c r="L1" s="1">
        <v>2025</v>
      </c>
      <c r="M1" s="1">
        <v>2026</v>
      </c>
      <c r="N1" s="1">
        <v>2027</v>
      </c>
      <c r="O1" s="1">
        <v>2028</v>
      </c>
      <c r="P1" s="1">
        <v>2029</v>
      </c>
      <c r="Q1" s="1">
        <v>2030</v>
      </c>
      <c r="R1" s="1">
        <v>2031</v>
      </c>
      <c r="S1" s="1">
        <v>2032</v>
      </c>
      <c r="T1" s="1">
        <v>2033</v>
      </c>
      <c r="U1" s="1">
        <v>2034</v>
      </c>
      <c r="V1" s="1">
        <v>2035</v>
      </c>
      <c r="W1" s="1">
        <v>2036</v>
      </c>
      <c r="X1" s="1">
        <v>2037</v>
      </c>
      <c r="Y1" s="1">
        <v>2038</v>
      </c>
      <c r="Z1" s="1">
        <v>2039</v>
      </c>
      <c r="AA1" s="1">
        <v>2040</v>
      </c>
      <c r="AB1" s="1">
        <v>2041</v>
      </c>
      <c r="AC1" s="1">
        <v>2042</v>
      </c>
      <c r="AD1" s="1">
        <v>2043</v>
      </c>
      <c r="AE1" s="1">
        <v>2044</v>
      </c>
      <c r="AF1" s="1">
        <v>2045</v>
      </c>
      <c r="AG1" s="1">
        <v>2046</v>
      </c>
      <c r="AH1" s="1">
        <v>2047</v>
      </c>
      <c r="AI1" s="1">
        <v>2048</v>
      </c>
      <c r="AJ1" s="1">
        <v>2049</v>
      </c>
      <c r="AK1" s="1">
        <v>2050</v>
      </c>
    </row>
    <row r="2" spans="1:37" x14ac:dyDescent="0.35">
      <c r="A2" s="1" t="str">
        <f>'Population Definitions'!$A$2</f>
        <v>anc_hm</v>
      </c>
      <c r="B2" t="s">
        <v>32</v>
      </c>
      <c r="C2" t="s">
        <v>33</v>
      </c>
      <c r="D2" s="3"/>
      <c r="E2">
        <v>56174316</v>
      </c>
      <c r="F2" s="4" t="s">
        <v>34</v>
      </c>
    </row>
    <row r="3" spans="1:37" x14ac:dyDescent="0.35">
      <c r="A3" s="1" t="s">
        <v>300</v>
      </c>
      <c r="D3" s="27"/>
      <c r="F3" s="4"/>
      <c r="G3">
        <v>55258930.660999998</v>
      </c>
      <c r="H3">
        <v>54630123.229000002</v>
      </c>
      <c r="I3">
        <v>54009211.960000008</v>
      </c>
      <c r="J3">
        <v>53360556.106000006</v>
      </c>
      <c r="K3">
        <v>52643520.215000004</v>
      </c>
      <c r="L3">
        <v>51907309.520000011</v>
      </c>
      <c r="M3">
        <v>51186209.998000003</v>
      </c>
      <c r="N3">
        <v>50542150.846000001</v>
      </c>
      <c r="O3">
        <v>49950174.241000004</v>
      </c>
      <c r="P3">
        <v>49376693.267000005</v>
      </c>
      <c r="Q3">
        <v>48836725.784000002</v>
      </c>
      <c r="R3">
        <v>48333763.192000002</v>
      </c>
      <c r="S3">
        <v>47894048.631000005</v>
      </c>
      <c r="T3">
        <v>47498298.627999999</v>
      </c>
      <c r="U3">
        <v>47144094.514000006</v>
      </c>
      <c r="V3">
        <v>46835643.777999997</v>
      </c>
      <c r="W3">
        <v>46574768.625000007</v>
      </c>
      <c r="X3">
        <v>46387873.675000004</v>
      </c>
      <c r="Y3">
        <v>46152311.315000005</v>
      </c>
      <c r="Z3">
        <v>45932298.896000005</v>
      </c>
      <c r="AA3">
        <v>45720950.671000004</v>
      </c>
      <c r="AB3">
        <v>45513708.768000007</v>
      </c>
      <c r="AC3">
        <v>45313056.370999999</v>
      </c>
      <c r="AD3">
        <v>45053555.965000004</v>
      </c>
      <c r="AE3">
        <v>44780211.135000005</v>
      </c>
      <c r="AF3">
        <v>44475057.220000006</v>
      </c>
      <c r="AG3">
        <v>44126631.197000004</v>
      </c>
      <c r="AH3">
        <v>43715388.904000007</v>
      </c>
      <c r="AI3">
        <v>43333232.491999999</v>
      </c>
      <c r="AJ3">
        <v>42942138.987000003</v>
      </c>
      <c r="AK3">
        <v>42529566.508000001</v>
      </c>
    </row>
    <row r="4" spans="1:37" x14ac:dyDescent="0.35">
      <c r="AD4" s="12"/>
    </row>
    <row r="5" spans="1:37" x14ac:dyDescent="0.35">
      <c r="A5" s="1" t="s">
        <v>204</v>
      </c>
      <c r="B5" s="1" t="s">
        <v>28</v>
      </c>
      <c r="C5" s="1" t="s">
        <v>29</v>
      </c>
      <c r="D5" s="1" t="s">
        <v>30</v>
      </c>
      <c r="E5" s="1" t="s">
        <v>31</v>
      </c>
      <c r="F5" s="1"/>
      <c r="G5" s="1">
        <v>2020</v>
      </c>
      <c r="H5" s="1">
        <v>2021</v>
      </c>
      <c r="I5" s="1">
        <v>2022</v>
      </c>
      <c r="J5" s="1">
        <v>2023</v>
      </c>
      <c r="K5" s="1">
        <v>2024</v>
      </c>
      <c r="L5" s="1">
        <v>2025</v>
      </c>
      <c r="AD5" s="12"/>
    </row>
    <row r="6" spans="1:37" x14ac:dyDescent="0.35">
      <c r="A6" s="1" t="str">
        <f>'[2]Population Definitions'!$A$2</f>
        <v>anc_hm</v>
      </c>
      <c r="B6" t="s">
        <v>32</v>
      </c>
      <c r="C6" t="s">
        <v>36</v>
      </c>
      <c r="D6" s="3"/>
      <c r="E6" s="15">
        <v>0.1</v>
      </c>
      <c r="F6" s="4" t="s">
        <v>34</v>
      </c>
      <c r="G6" s="15"/>
      <c r="H6" s="3"/>
      <c r="I6" s="3"/>
      <c r="J6" s="3"/>
      <c r="K6" s="3"/>
      <c r="L6" s="3"/>
      <c r="AD6" s="12"/>
    </row>
    <row r="7" spans="1:37" x14ac:dyDescent="0.35">
      <c r="AD7" s="12"/>
    </row>
    <row r="8" spans="1:37" x14ac:dyDescent="0.35">
      <c r="A8" s="1" t="s">
        <v>242</v>
      </c>
      <c r="B8" s="1" t="s">
        <v>28</v>
      </c>
      <c r="C8" s="1" t="s">
        <v>29</v>
      </c>
      <c r="D8" s="1" t="s">
        <v>30</v>
      </c>
      <c r="E8" s="1" t="s">
        <v>31</v>
      </c>
      <c r="F8" s="1"/>
      <c r="G8" s="1">
        <v>2020</v>
      </c>
      <c r="H8" s="1">
        <v>2021</v>
      </c>
      <c r="I8" s="1">
        <v>2022</v>
      </c>
      <c r="J8" s="1">
        <v>2023</v>
      </c>
      <c r="K8" s="1">
        <v>2024</v>
      </c>
      <c r="L8" s="1">
        <v>2025</v>
      </c>
      <c r="AD8" s="12"/>
      <c r="AI8" s="12"/>
    </row>
    <row r="9" spans="1:37" x14ac:dyDescent="0.35">
      <c r="A9" s="1" t="str">
        <f>'[3]Population Definitions'!$A$2</f>
        <v>anc_hm</v>
      </c>
      <c r="B9" t="s">
        <v>369</v>
      </c>
      <c r="C9" t="s">
        <v>64</v>
      </c>
      <c r="D9" s="3"/>
      <c r="E9" s="3">
        <v>85.6</v>
      </c>
      <c r="F9" s="4" t="s">
        <v>34</v>
      </c>
      <c r="G9" s="3"/>
      <c r="H9" s="3"/>
      <c r="I9" s="3"/>
      <c r="J9" s="3"/>
      <c r="K9" s="3"/>
      <c r="L9" s="3"/>
      <c r="AD9" s="12"/>
      <c r="AI9" s="12"/>
    </row>
    <row r="10" spans="1:37" x14ac:dyDescent="0.35">
      <c r="AD10" s="12"/>
      <c r="AI10" s="12"/>
    </row>
    <row r="11" spans="1:37" x14ac:dyDescent="0.35">
      <c r="A11" s="1" t="s">
        <v>243</v>
      </c>
      <c r="B11" s="1" t="s">
        <v>28</v>
      </c>
      <c r="C11" s="1" t="s">
        <v>29</v>
      </c>
      <c r="D11" s="1" t="s">
        <v>30</v>
      </c>
      <c r="E11" s="1" t="s">
        <v>31</v>
      </c>
      <c r="F11" s="1"/>
      <c r="G11" s="1">
        <v>2020</v>
      </c>
      <c r="H11" s="1">
        <v>2021</v>
      </c>
      <c r="I11" s="1">
        <v>2022</v>
      </c>
      <c r="J11" s="1">
        <v>2023</v>
      </c>
      <c r="K11" s="1">
        <v>2024</v>
      </c>
      <c r="L11" s="1">
        <v>2025</v>
      </c>
      <c r="AD11" s="12"/>
      <c r="AI11" s="12"/>
    </row>
    <row r="12" spans="1:37" x14ac:dyDescent="0.35">
      <c r="A12" s="1" t="str">
        <f>'[3]Population Definitions'!$A$2</f>
        <v>anc_hm</v>
      </c>
      <c r="B12" s="29" t="s">
        <v>370</v>
      </c>
      <c r="C12" t="s">
        <v>64</v>
      </c>
      <c r="D12" s="3"/>
      <c r="E12" s="3">
        <v>28</v>
      </c>
      <c r="F12" s="4" t="s">
        <v>34</v>
      </c>
      <c r="G12" s="3"/>
      <c r="H12" s="3"/>
      <c r="I12" s="3"/>
      <c r="J12" s="3"/>
      <c r="K12" s="3"/>
      <c r="L12" s="3"/>
      <c r="AD12" s="12"/>
      <c r="AI12" s="12"/>
    </row>
    <row r="13" spans="1:37" x14ac:dyDescent="0.35">
      <c r="AD13" s="12"/>
      <c r="AI13" s="12"/>
    </row>
    <row r="14" spans="1:37" x14ac:dyDescent="0.35">
      <c r="A14" s="1" t="s">
        <v>35</v>
      </c>
      <c r="B14" s="1" t="s">
        <v>28</v>
      </c>
      <c r="C14" s="1" t="s">
        <v>29</v>
      </c>
      <c r="D14" s="1" t="s">
        <v>30</v>
      </c>
      <c r="E14" s="1" t="s">
        <v>31</v>
      </c>
      <c r="F14" s="1"/>
      <c r="G14" s="1">
        <v>2020</v>
      </c>
      <c r="H14" s="1">
        <v>2021</v>
      </c>
      <c r="I14" s="1">
        <v>2022</v>
      </c>
      <c r="J14" s="1">
        <v>2023</v>
      </c>
      <c r="K14" s="1">
        <v>2024</v>
      </c>
      <c r="L14" s="1">
        <v>2025</v>
      </c>
      <c r="AD14" s="12"/>
      <c r="AI14" s="12"/>
    </row>
    <row r="15" spans="1:37" x14ac:dyDescent="0.35">
      <c r="A15" s="1" t="str">
        <f>'Population Definitions'!$A$2</f>
        <v>anc_hm</v>
      </c>
      <c r="B15" t="s">
        <v>32</v>
      </c>
      <c r="C15" t="s">
        <v>36</v>
      </c>
      <c r="D15" s="3"/>
      <c r="E15" s="3">
        <v>0.98</v>
      </c>
      <c r="F15" s="4" t="s">
        <v>34</v>
      </c>
      <c r="G15" s="3"/>
      <c r="H15" s="3"/>
      <c r="I15" s="3"/>
      <c r="J15" s="3"/>
      <c r="K15" s="3"/>
      <c r="L15" s="3"/>
      <c r="AD15" s="12"/>
      <c r="AI15" s="12"/>
    </row>
    <row r="16" spans="1:37" x14ac:dyDescent="0.35">
      <c r="AD16" s="12"/>
      <c r="AI16" s="12"/>
    </row>
    <row r="17" spans="1:37" x14ac:dyDescent="0.35">
      <c r="A17" s="1" t="s">
        <v>37</v>
      </c>
      <c r="B17" s="1" t="s">
        <v>28</v>
      </c>
      <c r="C17" s="1" t="s">
        <v>29</v>
      </c>
      <c r="D17" s="1" t="s">
        <v>30</v>
      </c>
      <c r="E17" s="1" t="s">
        <v>31</v>
      </c>
      <c r="F17" s="1"/>
      <c r="G17" s="1">
        <v>2020</v>
      </c>
      <c r="H17" s="1">
        <v>2021</v>
      </c>
      <c r="I17" s="1">
        <v>2022</v>
      </c>
      <c r="J17" s="1">
        <v>2023</v>
      </c>
      <c r="K17" s="1">
        <v>2024</v>
      </c>
      <c r="L17" s="1">
        <v>2025</v>
      </c>
      <c r="M17" s="1">
        <v>2026</v>
      </c>
      <c r="N17" s="1">
        <v>2027</v>
      </c>
      <c r="O17" s="1">
        <v>2028</v>
      </c>
      <c r="P17" s="1">
        <v>2029</v>
      </c>
      <c r="Q17" s="1">
        <v>2030</v>
      </c>
      <c r="R17" s="1">
        <v>2031</v>
      </c>
      <c r="S17" s="1">
        <v>2032</v>
      </c>
      <c r="T17" s="1">
        <v>2033</v>
      </c>
      <c r="U17" s="1">
        <v>2034</v>
      </c>
      <c r="V17" s="1">
        <v>2035</v>
      </c>
      <c r="W17" s="1">
        <v>2036</v>
      </c>
      <c r="X17" s="1">
        <v>2037</v>
      </c>
      <c r="Y17" s="1">
        <v>2038</v>
      </c>
      <c r="Z17" s="1">
        <v>2039</v>
      </c>
      <c r="AA17" s="1">
        <v>2040</v>
      </c>
      <c r="AB17" s="1">
        <v>2041</v>
      </c>
      <c r="AC17" s="1">
        <v>2042</v>
      </c>
      <c r="AD17" s="1">
        <v>2043</v>
      </c>
      <c r="AE17" s="1">
        <v>2044</v>
      </c>
      <c r="AF17" s="1">
        <v>2045</v>
      </c>
      <c r="AG17" s="1">
        <v>2046</v>
      </c>
      <c r="AH17" s="1">
        <v>2047</v>
      </c>
      <c r="AI17" s="1">
        <v>2048</v>
      </c>
      <c r="AJ17" s="1">
        <v>2049</v>
      </c>
      <c r="AK17" s="1">
        <v>2050</v>
      </c>
    </row>
    <row r="18" spans="1:37" x14ac:dyDescent="0.35">
      <c r="A18" s="1" t="str">
        <f>'Population Definitions'!$A$2</f>
        <v>anc_hm</v>
      </c>
      <c r="B18" t="s">
        <v>32</v>
      </c>
      <c r="C18" t="s">
        <v>36</v>
      </c>
      <c r="D18" s="3"/>
      <c r="E18" s="3"/>
      <c r="F18" s="4" t="s">
        <v>34</v>
      </c>
      <c r="G18">
        <v>0.94070024100000005</v>
      </c>
      <c r="H18">
        <v>0.94167884199999996</v>
      </c>
      <c r="I18">
        <v>0.94280884799999998</v>
      </c>
      <c r="J18">
        <v>0.94386356599999999</v>
      </c>
      <c r="K18">
        <v>0.94512178700000005</v>
      </c>
      <c r="L18">
        <v>0.94685101000000005</v>
      </c>
      <c r="M18">
        <v>0.94817510699999996</v>
      </c>
      <c r="N18">
        <v>0.94956314600000002</v>
      </c>
      <c r="O18">
        <v>0.95103759200000004</v>
      </c>
      <c r="P18">
        <v>0.95261256400000005</v>
      </c>
      <c r="Q18">
        <v>0.95450025100000002</v>
      </c>
      <c r="R18">
        <v>0.95599649399999997</v>
      </c>
      <c r="S18">
        <v>0.95745525600000003</v>
      </c>
      <c r="T18">
        <v>0.95887597899999999</v>
      </c>
      <c r="U18">
        <v>0.960258854</v>
      </c>
      <c r="V18">
        <v>0.96182341100000002</v>
      </c>
      <c r="W18">
        <v>0.96308393299999995</v>
      </c>
      <c r="X18">
        <v>0.96429561200000002</v>
      </c>
      <c r="Y18">
        <v>0.96546639199999995</v>
      </c>
      <c r="Z18">
        <v>0.96658856900000001</v>
      </c>
      <c r="AA18">
        <v>0.96782800599999996</v>
      </c>
      <c r="AB18">
        <v>0.96883118000000001</v>
      </c>
      <c r="AC18">
        <v>0.96979699399999997</v>
      </c>
      <c r="AD18">
        <v>0.97072074100000005</v>
      </c>
      <c r="AE18">
        <v>0.97159920799999999</v>
      </c>
      <c r="AF18">
        <v>0.97254085000000001</v>
      </c>
      <c r="AG18">
        <v>0.97328899400000002</v>
      </c>
      <c r="AH18">
        <v>0.97399983000000001</v>
      </c>
      <c r="AI18">
        <v>0.97468013899999995</v>
      </c>
      <c r="AJ18">
        <v>0.97533525799999998</v>
      </c>
      <c r="AK18">
        <v>0.97604738999999996</v>
      </c>
    </row>
    <row r="19" spans="1:37" x14ac:dyDescent="0.35">
      <c r="AD19" s="12"/>
      <c r="AI19" s="12"/>
    </row>
    <row r="20" spans="1:37" x14ac:dyDescent="0.35">
      <c r="A20" s="1" t="s">
        <v>38</v>
      </c>
      <c r="B20" s="1" t="s">
        <v>28</v>
      </c>
      <c r="C20" s="1" t="s">
        <v>29</v>
      </c>
      <c r="D20" s="1" t="s">
        <v>30</v>
      </c>
      <c r="E20" s="1" t="s">
        <v>31</v>
      </c>
      <c r="F20" s="1"/>
      <c r="G20" s="1">
        <v>2020</v>
      </c>
      <c r="H20" s="1">
        <v>2021</v>
      </c>
      <c r="I20" s="1">
        <v>2022</v>
      </c>
      <c r="J20" s="1">
        <v>2023</v>
      </c>
      <c r="K20" s="1">
        <v>2024</v>
      </c>
      <c r="L20" s="1">
        <v>2025</v>
      </c>
      <c r="M20" s="1">
        <v>2026</v>
      </c>
      <c r="N20" s="1">
        <v>2027</v>
      </c>
      <c r="O20" s="1">
        <v>2028</v>
      </c>
      <c r="P20" s="1">
        <v>2029</v>
      </c>
      <c r="Q20" s="1">
        <v>2030</v>
      </c>
      <c r="R20" s="1">
        <v>2031</v>
      </c>
      <c r="S20" s="1">
        <v>2032</v>
      </c>
      <c r="T20" s="1">
        <v>2033</v>
      </c>
      <c r="U20" s="1">
        <v>2034</v>
      </c>
      <c r="V20" s="1">
        <v>2035</v>
      </c>
      <c r="W20" s="1">
        <v>2036</v>
      </c>
      <c r="X20" s="1">
        <v>2037</v>
      </c>
      <c r="Y20" s="1">
        <v>2038</v>
      </c>
      <c r="Z20" s="1">
        <v>2039</v>
      </c>
      <c r="AA20" s="1">
        <v>2040</v>
      </c>
      <c r="AB20" s="1">
        <v>2041</v>
      </c>
      <c r="AC20" s="1">
        <v>2042</v>
      </c>
      <c r="AD20" s="1">
        <v>2043</v>
      </c>
      <c r="AE20" s="1">
        <v>2044</v>
      </c>
      <c r="AF20" s="1">
        <v>2045</v>
      </c>
      <c r="AG20" s="1">
        <v>2046</v>
      </c>
      <c r="AH20" s="1">
        <v>2047</v>
      </c>
      <c r="AI20" s="1">
        <v>2048</v>
      </c>
      <c r="AJ20" s="1">
        <v>2049</v>
      </c>
      <c r="AK20" s="1">
        <v>2050</v>
      </c>
    </row>
    <row r="21" spans="1:37" x14ac:dyDescent="0.35">
      <c r="A21" s="1" t="str">
        <f>'Population Definitions'!$A$2</f>
        <v>anc_hm</v>
      </c>
      <c r="B21" t="s">
        <v>32</v>
      </c>
      <c r="C21" t="s">
        <v>36</v>
      </c>
      <c r="D21" s="3"/>
      <c r="E21" s="3"/>
      <c r="F21" s="4" t="s">
        <v>34</v>
      </c>
      <c r="G21">
        <v>0.73896623699999997</v>
      </c>
      <c r="H21">
        <v>0.74119961499999998</v>
      </c>
      <c r="I21">
        <v>0.74405014199999997</v>
      </c>
      <c r="J21">
        <v>0.746719943</v>
      </c>
      <c r="K21">
        <v>0.75</v>
      </c>
      <c r="L21">
        <v>0.75417612199999995</v>
      </c>
      <c r="M21">
        <v>0.75757338200000002</v>
      </c>
      <c r="N21">
        <v>0.76110326800000005</v>
      </c>
      <c r="O21">
        <v>0.76483323199999997</v>
      </c>
      <c r="P21">
        <v>0.76881394800000002</v>
      </c>
      <c r="Q21">
        <v>0.77350647500000003</v>
      </c>
      <c r="R21">
        <v>0.77742758300000003</v>
      </c>
      <c r="S21">
        <v>0.78132157400000002</v>
      </c>
      <c r="T21">
        <v>0.78518598299999998</v>
      </c>
      <c r="U21">
        <v>0.78900558700000001</v>
      </c>
      <c r="V21">
        <v>0.79336443000000001</v>
      </c>
      <c r="W21">
        <v>0.79706737299999997</v>
      </c>
      <c r="X21">
        <v>0.80069774699999996</v>
      </c>
      <c r="Y21">
        <v>0.80426570500000005</v>
      </c>
      <c r="Z21">
        <v>0.807721782</v>
      </c>
      <c r="AA21">
        <v>0.81163142799999999</v>
      </c>
      <c r="AB21">
        <v>0.814930504</v>
      </c>
      <c r="AC21">
        <v>0.81815244399999998</v>
      </c>
      <c r="AD21">
        <v>0.82127782000000005</v>
      </c>
      <c r="AE21">
        <v>0.82429086900000004</v>
      </c>
      <c r="AF21">
        <v>0.82751084399999997</v>
      </c>
      <c r="AG21">
        <v>0.83015030199999995</v>
      </c>
      <c r="AH21">
        <v>0.83269308200000003</v>
      </c>
      <c r="AI21">
        <v>0.83516851199999997</v>
      </c>
      <c r="AJ21">
        <v>0.837600012</v>
      </c>
      <c r="AK21">
        <v>0.84020712200000003</v>
      </c>
    </row>
    <row r="22" spans="1:37" x14ac:dyDescent="0.35">
      <c r="AD22" s="12"/>
      <c r="AI22" s="12"/>
    </row>
    <row r="23" spans="1:37" x14ac:dyDescent="0.35">
      <c r="A23" s="1" t="s">
        <v>39</v>
      </c>
      <c r="B23" s="1" t="s">
        <v>28</v>
      </c>
      <c r="C23" s="1" t="s">
        <v>29</v>
      </c>
      <c r="D23" s="1" t="s">
        <v>30</v>
      </c>
      <c r="E23" s="1" t="s">
        <v>31</v>
      </c>
      <c r="F23" s="1"/>
      <c r="G23" s="1">
        <v>2020</v>
      </c>
      <c r="H23" s="1">
        <v>2021</v>
      </c>
      <c r="I23" s="1">
        <v>2022</v>
      </c>
      <c r="J23" s="1">
        <v>2023</v>
      </c>
      <c r="K23" s="1">
        <v>2024</v>
      </c>
      <c r="L23" s="1">
        <v>2025</v>
      </c>
      <c r="M23" s="1">
        <v>2026</v>
      </c>
      <c r="N23" s="1">
        <v>2027</v>
      </c>
      <c r="O23" s="1">
        <v>2028</v>
      </c>
      <c r="P23" s="1">
        <v>2029</v>
      </c>
      <c r="Q23" s="1">
        <v>2030</v>
      </c>
      <c r="R23" s="1">
        <v>2031</v>
      </c>
      <c r="S23" s="1">
        <v>2032</v>
      </c>
      <c r="T23" s="1">
        <v>2033</v>
      </c>
      <c r="U23" s="1">
        <v>2034</v>
      </c>
      <c r="V23" s="1">
        <v>2035</v>
      </c>
      <c r="W23" s="1">
        <v>2036</v>
      </c>
      <c r="X23" s="1">
        <v>2037</v>
      </c>
      <c r="Y23" s="1">
        <v>2038</v>
      </c>
      <c r="Z23" s="1">
        <v>2039</v>
      </c>
      <c r="AA23" s="1">
        <v>2040</v>
      </c>
      <c r="AB23" s="1">
        <v>2041</v>
      </c>
      <c r="AC23" s="1">
        <v>2042</v>
      </c>
      <c r="AD23" s="1">
        <v>2043</v>
      </c>
      <c r="AE23" s="1">
        <v>2044</v>
      </c>
      <c r="AF23" s="1">
        <v>2045</v>
      </c>
      <c r="AG23" s="1">
        <v>2046</v>
      </c>
      <c r="AH23" s="1">
        <v>2047</v>
      </c>
      <c r="AI23" s="1">
        <v>2048</v>
      </c>
      <c r="AJ23" s="1">
        <v>2049</v>
      </c>
      <c r="AK23" s="1">
        <v>2050</v>
      </c>
    </row>
    <row r="24" spans="1:37" x14ac:dyDescent="0.35">
      <c r="A24" s="1" t="str">
        <f>'Population Definitions'!$A$2</f>
        <v>anc_hm</v>
      </c>
      <c r="B24" t="s">
        <v>32</v>
      </c>
      <c r="C24" t="s">
        <v>36</v>
      </c>
      <c r="D24" s="3"/>
      <c r="E24" s="3"/>
      <c r="F24" s="4" t="s">
        <v>34</v>
      </c>
      <c r="G24">
        <v>0.95274301800000005</v>
      </c>
      <c r="H24">
        <v>0.95365633500000002</v>
      </c>
      <c r="I24">
        <v>0.95467955299999996</v>
      </c>
      <c r="J24">
        <v>0.95564452799999999</v>
      </c>
      <c r="K24">
        <v>0.95676639299999999</v>
      </c>
      <c r="L24">
        <v>0.95830837400000002</v>
      </c>
      <c r="M24">
        <v>0.95948295500000003</v>
      </c>
      <c r="N24">
        <v>0.96071193700000002</v>
      </c>
      <c r="O24">
        <v>0.96201388200000004</v>
      </c>
      <c r="P24">
        <v>0.96340004199999996</v>
      </c>
      <c r="Q24">
        <v>0.96506113800000004</v>
      </c>
      <c r="R24">
        <v>0.96636848399999997</v>
      </c>
      <c r="S24">
        <v>0.96763874500000002</v>
      </c>
      <c r="T24">
        <v>0.96887153100000001</v>
      </c>
      <c r="U24">
        <v>0.97006726600000004</v>
      </c>
      <c r="V24">
        <v>0.97141899700000001</v>
      </c>
      <c r="W24">
        <v>0.97249833500000005</v>
      </c>
      <c r="X24">
        <v>0.97353229100000005</v>
      </c>
      <c r="Y24">
        <v>0.97452898799999998</v>
      </c>
      <c r="Z24">
        <v>0.97548280799999998</v>
      </c>
      <c r="AA24">
        <v>0.97653635800000005</v>
      </c>
      <c r="AB24">
        <v>0.97738308600000001</v>
      </c>
      <c r="AC24">
        <v>0.97819683499999999</v>
      </c>
      <c r="AD24">
        <v>0.97897422700000003</v>
      </c>
      <c r="AE24">
        <v>0.97971293599999998</v>
      </c>
      <c r="AF24">
        <v>0.98050680899999998</v>
      </c>
      <c r="AG24">
        <v>0.98113503800000001</v>
      </c>
      <c r="AH24">
        <v>0.98173112299999998</v>
      </c>
      <c r="AI24">
        <v>0.98230037100000001</v>
      </c>
      <c r="AJ24">
        <v>0.98284692900000004</v>
      </c>
      <c r="AK24">
        <v>0.98344159900000006</v>
      </c>
    </row>
    <row r="25" spans="1:37" x14ac:dyDescent="0.35">
      <c r="AD25" s="12"/>
      <c r="AI25" s="12"/>
    </row>
    <row r="26" spans="1:37" x14ac:dyDescent="0.35">
      <c r="A26" s="1" t="s">
        <v>40</v>
      </c>
      <c r="B26" s="1" t="s">
        <v>28</v>
      </c>
      <c r="C26" s="1" t="s">
        <v>29</v>
      </c>
      <c r="D26" s="1" t="s">
        <v>30</v>
      </c>
      <c r="E26" s="1" t="s">
        <v>31</v>
      </c>
      <c r="F26" s="1"/>
      <c r="G26" s="1">
        <v>2020</v>
      </c>
      <c r="H26" s="1">
        <v>2021</v>
      </c>
      <c r="I26" s="1">
        <v>2022</v>
      </c>
      <c r="J26" s="1">
        <v>2023</v>
      </c>
      <c r="K26" s="1">
        <v>2024</v>
      </c>
      <c r="L26" s="1">
        <v>2025</v>
      </c>
      <c r="AD26" s="12"/>
      <c r="AI26" s="12"/>
    </row>
    <row r="27" spans="1:37" x14ac:dyDescent="0.35">
      <c r="A27" s="1" t="str">
        <f>'Population Definitions'!$A$2</f>
        <v>anc_hm</v>
      </c>
      <c r="B27" t="s">
        <v>32</v>
      </c>
      <c r="C27" t="s">
        <v>36</v>
      </c>
      <c r="D27" s="3"/>
      <c r="E27" s="7">
        <v>7.4999999999999997E-3</v>
      </c>
      <c r="F27" s="4" t="s">
        <v>34</v>
      </c>
      <c r="G27" s="3"/>
      <c r="H27" s="3"/>
      <c r="I27" s="3"/>
      <c r="J27" s="3"/>
      <c r="K27" s="3"/>
      <c r="L27" s="3"/>
      <c r="AD27" s="12"/>
      <c r="AI27" s="12"/>
    </row>
    <row r="28" spans="1:37" x14ac:dyDescent="0.35">
      <c r="AD28" s="12"/>
      <c r="AI28" s="12"/>
    </row>
    <row r="29" spans="1:37" x14ac:dyDescent="0.35">
      <c r="A29" s="1" t="s">
        <v>41</v>
      </c>
      <c r="B29" s="1" t="s">
        <v>28</v>
      </c>
      <c r="C29" s="1" t="s">
        <v>29</v>
      </c>
      <c r="D29" s="1" t="s">
        <v>30</v>
      </c>
      <c r="E29" s="1" t="s">
        <v>31</v>
      </c>
      <c r="F29" s="1"/>
      <c r="G29" s="1">
        <v>2020</v>
      </c>
      <c r="H29" s="1">
        <v>2021</v>
      </c>
      <c r="I29" s="1">
        <v>2022</v>
      </c>
      <c r="J29" s="1">
        <v>2023</v>
      </c>
      <c r="K29" s="1">
        <v>2024</v>
      </c>
      <c r="L29" s="1">
        <v>2025</v>
      </c>
      <c r="AD29" s="12"/>
      <c r="AI29" s="12"/>
    </row>
    <row r="30" spans="1:37" x14ac:dyDescent="0.35">
      <c r="A30" s="1" t="str">
        <f>'Population Definitions'!$A$2</f>
        <v>anc_hm</v>
      </c>
      <c r="B30" t="s">
        <v>32</v>
      </c>
      <c r="C30" t="s">
        <v>36</v>
      </c>
      <c r="D30" s="3"/>
      <c r="E30" s="7">
        <v>7.4999999999999997E-3</v>
      </c>
      <c r="F30" s="4" t="s">
        <v>34</v>
      </c>
      <c r="G30" s="3"/>
      <c r="H30" s="3"/>
      <c r="I30" s="3"/>
      <c r="J30" s="3"/>
      <c r="K30" s="3"/>
      <c r="L30" s="3"/>
      <c r="AD30" s="12"/>
      <c r="AI30" s="12"/>
    </row>
    <row r="31" spans="1:37" x14ac:dyDescent="0.35">
      <c r="AD31" s="12"/>
      <c r="AI31" s="12"/>
    </row>
    <row r="32" spans="1:37" x14ac:dyDescent="0.35">
      <c r="A32" s="1" t="s">
        <v>42</v>
      </c>
      <c r="B32" s="1" t="s">
        <v>28</v>
      </c>
      <c r="C32" s="1" t="s">
        <v>29</v>
      </c>
      <c r="D32" s="1" t="s">
        <v>30</v>
      </c>
      <c r="E32" s="1" t="s">
        <v>31</v>
      </c>
      <c r="F32" s="1"/>
      <c r="G32" s="1">
        <v>2020</v>
      </c>
      <c r="H32" s="1">
        <v>2021</v>
      </c>
      <c r="I32" s="1">
        <v>2022</v>
      </c>
      <c r="J32" s="1">
        <v>2023</v>
      </c>
      <c r="K32" s="1">
        <v>2024</v>
      </c>
      <c r="L32" s="1">
        <v>2025</v>
      </c>
      <c r="AD32" s="12"/>
      <c r="AI32" s="12"/>
    </row>
    <row r="33" spans="1:37" x14ac:dyDescent="0.35">
      <c r="A33" s="1" t="str">
        <f>'Population Definitions'!$A$2</f>
        <v>anc_hm</v>
      </c>
      <c r="B33" t="s">
        <v>32</v>
      </c>
      <c r="C33" t="s">
        <v>36</v>
      </c>
      <c r="D33" s="3"/>
      <c r="E33" s="7">
        <v>0.01</v>
      </c>
      <c r="F33" s="4" t="s">
        <v>34</v>
      </c>
      <c r="G33" s="3"/>
      <c r="H33" s="3"/>
      <c r="I33" s="3"/>
      <c r="J33" s="3"/>
      <c r="K33" s="3"/>
      <c r="L33" s="3"/>
      <c r="AD33" s="12"/>
      <c r="AI33" s="12"/>
    </row>
    <row r="34" spans="1:37" x14ac:dyDescent="0.35">
      <c r="AD34" s="12"/>
      <c r="AI34" s="12"/>
    </row>
    <row r="35" spans="1:37" x14ac:dyDescent="0.35">
      <c r="A35" s="1" t="s">
        <v>205</v>
      </c>
      <c r="B35" s="1" t="s">
        <v>28</v>
      </c>
      <c r="C35" s="1" t="s">
        <v>29</v>
      </c>
      <c r="D35" s="1" t="s">
        <v>30</v>
      </c>
      <c r="E35" s="1" t="s">
        <v>31</v>
      </c>
      <c r="F35" s="1"/>
      <c r="G35" s="1">
        <v>2020</v>
      </c>
      <c r="H35" s="1">
        <v>2021</v>
      </c>
      <c r="I35" s="1">
        <v>2022</v>
      </c>
      <c r="J35" s="1">
        <v>2023</v>
      </c>
      <c r="K35" s="1">
        <v>2024</v>
      </c>
      <c r="L35" s="1">
        <v>2025</v>
      </c>
      <c r="M35" s="1">
        <v>2026</v>
      </c>
      <c r="N35" s="1">
        <v>2027</v>
      </c>
      <c r="O35" s="1">
        <v>2028</v>
      </c>
      <c r="P35" s="1">
        <v>2029</v>
      </c>
      <c r="Q35" s="1">
        <v>2030</v>
      </c>
      <c r="R35" s="1">
        <v>2031</v>
      </c>
      <c r="S35" s="1">
        <v>2032</v>
      </c>
      <c r="T35" s="1">
        <v>2033</v>
      </c>
      <c r="U35" s="1">
        <v>2034</v>
      </c>
      <c r="V35" s="1">
        <v>2035</v>
      </c>
      <c r="W35" s="1">
        <v>2036</v>
      </c>
      <c r="X35" s="1">
        <v>2037</v>
      </c>
      <c r="Y35" s="1">
        <v>2038</v>
      </c>
      <c r="Z35" s="1">
        <v>2039</v>
      </c>
      <c r="AA35" s="1">
        <v>2040</v>
      </c>
      <c r="AB35" s="1">
        <v>2041</v>
      </c>
      <c r="AC35" s="1">
        <v>2042</v>
      </c>
      <c r="AD35" s="1">
        <v>2043</v>
      </c>
      <c r="AE35" s="1">
        <v>2044</v>
      </c>
      <c r="AF35" s="1">
        <v>2045</v>
      </c>
      <c r="AG35" s="1">
        <v>2046</v>
      </c>
      <c r="AH35" s="1">
        <v>2047</v>
      </c>
      <c r="AI35" s="1">
        <v>2048</v>
      </c>
      <c r="AJ35" s="1">
        <v>2049</v>
      </c>
      <c r="AK35" s="1">
        <v>2050</v>
      </c>
    </row>
    <row r="36" spans="1:37" x14ac:dyDescent="0.35">
      <c r="A36" s="1" t="str">
        <f>'Population Definitions'!$A$2</f>
        <v>anc_hm</v>
      </c>
      <c r="B36" t="s">
        <v>32</v>
      </c>
      <c r="C36" t="s">
        <v>36</v>
      </c>
      <c r="D36" s="3"/>
      <c r="E36" s="3"/>
      <c r="F36" s="4" t="s">
        <v>34</v>
      </c>
      <c r="G36">
        <f>G37-0.0593</f>
        <v>0.84231901499999995</v>
      </c>
      <c r="H36">
        <f>H37-0.0593</f>
        <v>0.84264623599999999</v>
      </c>
      <c r="I36">
        <f>I37-0.0593</f>
        <v>0.84373735299999997</v>
      </c>
      <c r="J36">
        <f t="shared" ref="J36:AK36" si="0">J37-0.0593</f>
        <v>0.84464559299999997</v>
      </c>
      <c r="K36">
        <f t="shared" si="0"/>
        <v>0.84629399500000002</v>
      </c>
      <c r="L36">
        <f t="shared" si="0"/>
        <v>0.84883602699999994</v>
      </c>
      <c r="M36">
        <f t="shared" si="0"/>
        <v>0.85071846900000003</v>
      </c>
      <c r="N36">
        <f t="shared" si="0"/>
        <v>0.85278641199999994</v>
      </c>
      <c r="O36">
        <f t="shared" si="0"/>
        <v>0.85509679999999999</v>
      </c>
      <c r="P36">
        <f t="shared" si="0"/>
        <v>0.85768886499999997</v>
      </c>
      <c r="Q36">
        <f t="shared" si="0"/>
        <v>0.86095192600000003</v>
      </c>
      <c r="R36">
        <f t="shared" si="0"/>
        <v>0.86355910199999997</v>
      </c>
      <c r="S36">
        <f t="shared" si="0"/>
        <v>0.86615102099999997</v>
      </c>
      <c r="T36">
        <f t="shared" si="0"/>
        <v>0.86871226899999998</v>
      </c>
      <c r="U36">
        <f t="shared" si="0"/>
        <v>0.87123713699999994</v>
      </c>
      <c r="V36">
        <f t="shared" si="0"/>
        <v>0.87419444000000002</v>
      </c>
      <c r="W36">
        <f t="shared" si="0"/>
        <v>0.87658257399999995</v>
      </c>
      <c r="X36">
        <f t="shared" si="0"/>
        <v>0.87888741199999998</v>
      </c>
      <c r="Y36">
        <f t="shared" si="0"/>
        <v>0.88110394599999997</v>
      </c>
      <c r="Z36">
        <f t="shared" si="0"/>
        <v>0.883210936</v>
      </c>
      <c r="AA36">
        <f t="shared" si="0"/>
        <v>0.885604273</v>
      </c>
      <c r="AB36">
        <f t="shared" si="0"/>
        <v>0.88750278799999993</v>
      </c>
      <c r="AC36">
        <f t="shared" si="0"/>
        <v>0.88930299099999999</v>
      </c>
      <c r="AD36">
        <f t="shared" si="0"/>
        <v>0.89099405099999995</v>
      </c>
      <c r="AE36">
        <f t="shared" si="0"/>
        <v>0.89257045199999996</v>
      </c>
      <c r="AF36">
        <f t="shared" si="0"/>
        <v>0.89428548499999994</v>
      </c>
      <c r="AG36">
        <f t="shared" si="0"/>
        <v>0.89559896500000002</v>
      </c>
      <c r="AH36">
        <f t="shared" si="0"/>
        <v>0.89683535000000003</v>
      </c>
      <c r="AI36">
        <f t="shared" si="0"/>
        <v>0.89801018799999999</v>
      </c>
      <c r="AJ36">
        <f t="shared" si="0"/>
        <v>0.89913826499999994</v>
      </c>
      <c r="AK36">
        <f t="shared" si="0"/>
        <v>0.90038908399999995</v>
      </c>
    </row>
    <row r="37" spans="1:37" x14ac:dyDescent="0.35">
      <c r="A37" t="s">
        <v>300</v>
      </c>
      <c r="G37">
        <v>0.90161901499999997</v>
      </c>
      <c r="H37">
        <v>0.90194623600000001</v>
      </c>
      <c r="I37">
        <v>0.90303735299999999</v>
      </c>
      <c r="J37">
        <v>0.90394559299999999</v>
      </c>
      <c r="K37">
        <v>0.90559399500000004</v>
      </c>
      <c r="L37">
        <v>0.90813602699999996</v>
      </c>
      <c r="M37">
        <v>0.91001846900000005</v>
      </c>
      <c r="N37">
        <v>0.91208641199999996</v>
      </c>
      <c r="O37">
        <v>0.91439680000000001</v>
      </c>
      <c r="P37">
        <v>0.91698886499999999</v>
      </c>
      <c r="Q37">
        <v>0.92025192600000005</v>
      </c>
      <c r="R37">
        <v>0.92285910199999999</v>
      </c>
      <c r="S37">
        <v>0.92545102099999998</v>
      </c>
      <c r="T37">
        <v>0.928012269</v>
      </c>
      <c r="U37">
        <v>0.93053713699999996</v>
      </c>
      <c r="V37">
        <v>0.93349444000000004</v>
      </c>
      <c r="W37">
        <v>0.93588257399999997</v>
      </c>
      <c r="X37">
        <v>0.938187412</v>
      </c>
      <c r="Y37">
        <v>0.94040394599999999</v>
      </c>
      <c r="Z37">
        <v>0.94251093600000002</v>
      </c>
      <c r="AA37">
        <v>0.94490427300000002</v>
      </c>
      <c r="AB37">
        <v>0.94680278799999995</v>
      </c>
      <c r="AC37">
        <v>0.94860299100000001</v>
      </c>
      <c r="AD37">
        <v>0.95029405099999997</v>
      </c>
      <c r="AE37">
        <v>0.95187045199999998</v>
      </c>
      <c r="AF37">
        <v>0.95358548499999995</v>
      </c>
      <c r="AG37">
        <v>0.95489896500000004</v>
      </c>
      <c r="AH37">
        <v>0.95613535000000005</v>
      </c>
      <c r="AI37">
        <v>0.95731018800000001</v>
      </c>
      <c r="AJ37">
        <v>0.95843826499999996</v>
      </c>
      <c r="AK37">
        <v>0.95968908399999997</v>
      </c>
    </row>
    <row r="39" spans="1:37" x14ac:dyDescent="0.35">
      <c r="A39" s="1" t="s">
        <v>43</v>
      </c>
      <c r="B39" s="1" t="s">
        <v>28</v>
      </c>
      <c r="C39" s="1" t="s">
        <v>29</v>
      </c>
      <c r="D39" s="1" t="s">
        <v>30</v>
      </c>
      <c r="E39" s="1" t="s">
        <v>31</v>
      </c>
      <c r="F39" s="1"/>
      <c r="G39" s="1">
        <v>2020</v>
      </c>
      <c r="H39" s="1">
        <v>2021</v>
      </c>
      <c r="I39" s="1">
        <v>2022</v>
      </c>
      <c r="J39" s="1">
        <v>2023</v>
      </c>
      <c r="K39" s="1">
        <v>2024</v>
      </c>
      <c r="L39" s="1">
        <v>2025</v>
      </c>
      <c r="AI39" s="12"/>
    </row>
    <row r="40" spans="1:37" x14ac:dyDescent="0.35">
      <c r="A40" s="1" t="str">
        <f>'Population Definitions'!$A$2</f>
        <v>anc_hm</v>
      </c>
      <c r="B40" t="s">
        <v>32</v>
      </c>
      <c r="C40" t="s">
        <v>36</v>
      </c>
      <c r="D40" s="3"/>
      <c r="E40" s="3">
        <v>0.23400000000000001</v>
      </c>
      <c r="F40" s="4" t="s">
        <v>34</v>
      </c>
      <c r="G40" s="3"/>
      <c r="H40" s="3"/>
      <c r="I40" s="3"/>
      <c r="J40" s="3"/>
      <c r="K40" s="3"/>
      <c r="L40" s="3"/>
      <c r="AI40" s="12"/>
    </row>
  </sheetData>
  <conditionalFormatting sqref="E9">
    <cfRule type="expression" dxfId="765" priority="1">
      <formula>COUNTIF(G9:L9,"&lt;&gt;" &amp; "")&gt;0</formula>
    </cfRule>
    <cfRule type="expression" dxfId="764" priority="2">
      <formula>AND(COUNTIF(G9:L9,"&lt;&gt;" &amp; "")&gt;0,NOT(ISBLANK(E9)))</formula>
    </cfRule>
  </conditionalFormatting>
  <conditionalFormatting sqref="E12">
    <cfRule type="expression" dxfId="763" priority="3">
      <formula>COUNTIF(G12:L12,"&lt;&gt;" &amp; "")&gt;0</formula>
    </cfRule>
    <cfRule type="expression" dxfId="762" priority="4">
      <formula>AND(COUNTIF(G12:L12,"&lt;&gt;" &amp; "")&gt;0,NOT(ISBLANK(E12)))</formula>
    </cfRule>
  </conditionalFormatting>
  <conditionalFormatting sqref="E15">
    <cfRule type="expression" dxfId="761" priority="15">
      <formula>COUNTIF(G15:Z15,"&lt;&gt;" &amp; "")&gt;0</formula>
    </cfRule>
    <cfRule type="expression" dxfId="760" priority="16">
      <formula>AND(COUNTIF(G15:Z15,"&lt;&gt;" &amp; "")&gt;0,NOT(ISBLANK(E15)))</formula>
    </cfRule>
  </conditionalFormatting>
  <conditionalFormatting sqref="E18">
    <cfRule type="expression" dxfId="759" priority="9">
      <formula>COUNTIF(G18:Z18,"&lt;&gt;" &amp; "")&gt;0</formula>
    </cfRule>
    <cfRule type="expression" dxfId="758" priority="10">
      <formula>AND(COUNTIF(G18:Z18,"&lt;&gt;" &amp; "")&gt;0,NOT(ISBLANK(E18)))</formula>
    </cfRule>
  </conditionalFormatting>
  <conditionalFormatting sqref="E21">
    <cfRule type="expression" dxfId="757" priority="11">
      <formula>COUNTIF(G21:Z21,"&lt;&gt;" &amp; "")&gt;0</formula>
    </cfRule>
    <cfRule type="expression" dxfId="756" priority="12">
      <formula>AND(COUNTIF(G21:Z21,"&lt;&gt;" &amp; "")&gt;0,NOT(ISBLANK(E21)))</formula>
    </cfRule>
  </conditionalFormatting>
  <conditionalFormatting sqref="E24">
    <cfRule type="expression" dxfId="755" priority="13">
      <formula>COUNTIF(G24:Z24,"&lt;&gt;" &amp; "")&gt;0</formula>
    </cfRule>
    <cfRule type="expression" dxfId="754" priority="14">
      <formula>AND(COUNTIF(G24:Z24,"&lt;&gt;" &amp; "")&gt;0,NOT(ISBLANK(E24)))</formula>
    </cfRule>
  </conditionalFormatting>
  <conditionalFormatting sqref="E36">
    <cfRule type="expression" dxfId="753" priority="461">
      <formula>COUNTIF(#REF!,"&lt;&gt;" &amp; "")&gt;0</formula>
    </cfRule>
    <cfRule type="expression" dxfId="752" priority="462">
      <formula>AND(COUNTIF(#REF!,"&lt;&gt;" &amp; "")&gt;0,NOT(ISBLANK(E36)))</formula>
    </cfRule>
  </conditionalFormatting>
  <conditionalFormatting sqref="E40">
    <cfRule type="expression" dxfId="751" priority="465">
      <formula>COUNTIF(G37:L37,"&lt;&gt;" &amp; "")&gt;0</formula>
    </cfRule>
    <cfRule type="expression" dxfId="750" priority="466">
      <formula>AND(COUNTIF(G37:L37,"&lt;&gt;" &amp; "")&gt;0,NOT(ISBLANK(E40)))</formula>
    </cfRule>
  </conditionalFormatting>
  <dataValidations count="3">
    <dataValidation type="list" allowBlank="1" showInputMessage="1" showErrorMessage="1" sqref="C2:C3" xr:uid="{00000000-0002-0000-0100-000000000000}">
      <formula1>"Number (per year)"</formula1>
    </dataValidation>
    <dataValidation type="list" allowBlank="1" showInputMessage="1" showErrorMessage="1" sqref="C15 C40 C36 C33 C30 C27 C24 C21 C18 C6:C7" xr:uid="{00000000-0002-0000-0100-000001000000}">
      <formula1>"Proportion"</formula1>
    </dataValidation>
    <dataValidation type="list" allowBlank="1" showInputMessage="1" showErrorMessage="1" sqref="C9 C12" xr:uid="{12408A97-B523-4767-B608-E583E82CEE02}">
      <formula1>"Number"</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L59"/>
  <sheetViews>
    <sheetView topLeftCell="A31" workbookViewId="0">
      <selection activeCell="A31" sqref="A1:L1048576"/>
    </sheetView>
  </sheetViews>
  <sheetFormatPr defaultRowHeight="14.5" x14ac:dyDescent="0.35"/>
  <cols>
    <col min="1" max="1" width="103.81640625" style="35" customWidth="1"/>
    <col min="2" max="2" width="30.26953125" style="35" customWidth="1"/>
    <col min="3" max="3" width="12.7265625" style="35" customWidth="1"/>
    <col min="4" max="4" width="13.81640625" style="35" customWidth="1"/>
    <col min="5" max="5" width="10.54296875" style="35" customWidth="1"/>
    <col min="6" max="6" width="3.81640625" style="35" customWidth="1"/>
    <col min="7" max="12" width="9.453125" style="35" customWidth="1"/>
  </cols>
  <sheetData>
    <row r="1" spans="1:12" x14ac:dyDescent="0.35">
      <c r="A1" s="34" t="s">
        <v>44</v>
      </c>
      <c r="B1" s="34" t="s">
        <v>28</v>
      </c>
      <c r="C1" s="34" t="s">
        <v>29</v>
      </c>
      <c r="D1" s="34" t="s">
        <v>30</v>
      </c>
      <c r="E1" s="34" t="s">
        <v>31</v>
      </c>
      <c r="F1" s="34"/>
      <c r="G1" s="34">
        <v>2020</v>
      </c>
      <c r="H1" s="34">
        <v>2021</v>
      </c>
      <c r="I1" s="34">
        <v>2022</v>
      </c>
      <c r="J1" s="34">
        <v>2023</v>
      </c>
      <c r="K1" s="34">
        <v>2024</v>
      </c>
      <c r="L1" s="34">
        <v>2025</v>
      </c>
    </row>
    <row r="2" spans="1:12" x14ac:dyDescent="0.35">
      <c r="A2" s="34" t="str">
        <f>'Population Definitions'!$A$3</f>
        <v>asx_hm</v>
      </c>
      <c r="B2" s="35" t="s">
        <v>32</v>
      </c>
      <c r="C2" s="35" t="s">
        <v>36</v>
      </c>
      <c r="D2" s="36"/>
      <c r="E2" s="37">
        <v>1.87</v>
      </c>
      <c r="F2" s="38" t="s">
        <v>34</v>
      </c>
      <c r="G2" s="36"/>
      <c r="H2" s="36"/>
      <c r="I2" s="36"/>
      <c r="J2" s="36"/>
      <c r="K2" s="36"/>
      <c r="L2" s="36"/>
    </row>
    <row r="4" spans="1:12" x14ac:dyDescent="0.35">
      <c r="A4" s="34" t="s">
        <v>45</v>
      </c>
      <c r="B4" s="34" t="s">
        <v>28</v>
      </c>
      <c r="C4" s="34" t="s">
        <v>29</v>
      </c>
      <c r="D4" s="34" t="s">
        <v>30</v>
      </c>
      <c r="E4" s="34" t="s">
        <v>31</v>
      </c>
      <c r="F4" s="34"/>
      <c r="G4" s="34">
        <v>2020</v>
      </c>
      <c r="H4" s="34">
        <v>2021</v>
      </c>
      <c r="I4" s="34">
        <v>2022</v>
      </c>
      <c r="J4" s="34">
        <v>2023</v>
      </c>
      <c r="K4" s="34">
        <v>2024</v>
      </c>
      <c r="L4" s="34">
        <v>2025</v>
      </c>
    </row>
    <row r="5" spans="1:12" x14ac:dyDescent="0.35">
      <c r="A5" s="34" t="str">
        <f>'Population Definitions'!$A$3</f>
        <v>asx_hm</v>
      </c>
      <c r="B5" s="35" t="s">
        <v>32</v>
      </c>
      <c r="C5" s="35" t="s">
        <v>36</v>
      </c>
      <c r="D5" s="36"/>
      <c r="E5" s="37">
        <v>1.1000000000000001</v>
      </c>
      <c r="F5" s="38" t="s">
        <v>34</v>
      </c>
      <c r="G5" s="36"/>
      <c r="H5" s="36"/>
      <c r="I5" s="36"/>
      <c r="J5" s="36"/>
      <c r="K5" s="36"/>
      <c r="L5" s="36"/>
    </row>
    <row r="7" spans="1:12" x14ac:dyDescent="0.35">
      <c r="A7" s="34" t="s">
        <v>46</v>
      </c>
      <c r="B7" s="34" t="s">
        <v>28</v>
      </c>
      <c r="C7" s="34" t="s">
        <v>29</v>
      </c>
      <c r="D7" s="34" t="s">
        <v>30</v>
      </c>
      <c r="E7" s="34" t="s">
        <v>31</v>
      </c>
      <c r="F7" s="34"/>
      <c r="G7" s="34">
        <v>2020</v>
      </c>
      <c r="H7" s="34">
        <v>2021</v>
      </c>
      <c r="I7" s="34">
        <v>2022</v>
      </c>
      <c r="J7" s="34">
        <v>2023</v>
      </c>
      <c r="K7" s="34">
        <v>2024</v>
      </c>
      <c r="L7" s="34">
        <v>2025</v>
      </c>
    </row>
    <row r="8" spans="1:12" x14ac:dyDescent="0.35">
      <c r="A8" s="34" t="str">
        <f>'Population Definitions'!$A$3</f>
        <v>asx_hm</v>
      </c>
      <c r="B8" s="35" t="s">
        <v>32</v>
      </c>
      <c r="C8" s="35" t="s">
        <v>36</v>
      </c>
      <c r="D8" s="36"/>
      <c r="E8" s="37">
        <v>1.58</v>
      </c>
      <c r="F8" s="38" t="s">
        <v>34</v>
      </c>
      <c r="G8" s="36"/>
      <c r="H8" s="36"/>
      <c r="I8" s="36"/>
      <c r="J8" s="36"/>
      <c r="K8" s="36"/>
      <c r="L8" s="36"/>
    </row>
    <row r="10" spans="1:12" x14ac:dyDescent="0.35">
      <c r="A10" s="34" t="s">
        <v>293</v>
      </c>
      <c r="B10" s="34" t="s">
        <v>28</v>
      </c>
      <c r="C10" s="34" t="s">
        <v>29</v>
      </c>
      <c r="D10" s="34" t="s">
        <v>30</v>
      </c>
      <c r="E10" s="34" t="s">
        <v>31</v>
      </c>
      <c r="G10" s="34">
        <v>2020</v>
      </c>
      <c r="H10" s="34">
        <v>2021</v>
      </c>
      <c r="I10" s="34">
        <v>2022</v>
      </c>
      <c r="J10" s="34">
        <v>2023</v>
      </c>
      <c r="K10" s="34">
        <v>2024</v>
      </c>
      <c r="L10" s="34">
        <v>2025</v>
      </c>
    </row>
    <row r="11" spans="1:12" x14ac:dyDescent="0.35">
      <c r="A11" s="34" t="str">
        <f>A8</f>
        <v>asx_hm</v>
      </c>
      <c r="B11" s="35" t="s">
        <v>32</v>
      </c>
      <c r="C11" s="35" t="s">
        <v>36</v>
      </c>
      <c r="E11" s="35">
        <v>0.6</v>
      </c>
      <c r="F11" s="38" t="s">
        <v>34</v>
      </c>
      <c r="G11" s="36"/>
      <c r="H11" s="36"/>
      <c r="I11" s="36"/>
      <c r="J11" s="36"/>
      <c r="K11" s="36"/>
      <c r="L11" s="36"/>
    </row>
    <row r="13" spans="1:12" x14ac:dyDescent="0.35">
      <c r="A13" s="34" t="s">
        <v>303</v>
      </c>
      <c r="B13" s="34" t="s">
        <v>28</v>
      </c>
      <c r="C13" s="34" t="s">
        <v>29</v>
      </c>
      <c r="D13" s="34" t="s">
        <v>30</v>
      </c>
      <c r="E13" s="34" t="s">
        <v>31</v>
      </c>
      <c r="F13" s="34"/>
      <c r="G13" s="34">
        <v>2020</v>
      </c>
      <c r="H13" s="34">
        <v>2021</v>
      </c>
      <c r="I13" s="34">
        <v>2022</v>
      </c>
      <c r="J13" s="34">
        <v>2023</v>
      </c>
      <c r="K13" s="34">
        <v>2024</v>
      </c>
      <c r="L13" s="34">
        <v>2025</v>
      </c>
    </row>
    <row r="14" spans="1:12" x14ac:dyDescent="0.35">
      <c r="A14" s="34" t="str">
        <f>'[1]Population Definitions'!$A$3</f>
        <v>asx_hm</v>
      </c>
      <c r="B14" s="35" t="s">
        <v>32</v>
      </c>
      <c r="C14" s="35" t="s">
        <v>36</v>
      </c>
      <c r="D14" s="36"/>
      <c r="E14" s="36">
        <v>35</v>
      </c>
      <c r="F14" s="38" t="s">
        <v>34</v>
      </c>
      <c r="G14" s="36"/>
      <c r="H14" s="36"/>
      <c r="I14" s="36"/>
      <c r="J14" s="36"/>
      <c r="K14" s="36"/>
      <c r="L14" s="36"/>
    </row>
    <row r="16" spans="1:12" x14ac:dyDescent="0.35">
      <c r="A16" s="34" t="s">
        <v>304</v>
      </c>
      <c r="B16" s="34" t="s">
        <v>28</v>
      </c>
      <c r="C16" s="34" t="s">
        <v>29</v>
      </c>
      <c r="D16" s="34" t="s">
        <v>30</v>
      </c>
      <c r="E16" s="34" t="s">
        <v>31</v>
      </c>
      <c r="F16" s="34"/>
      <c r="G16" s="34">
        <v>2020</v>
      </c>
      <c r="H16" s="34">
        <v>2021</v>
      </c>
      <c r="I16" s="34">
        <v>2022</v>
      </c>
      <c r="J16" s="34">
        <v>2023</v>
      </c>
      <c r="K16" s="34">
        <v>2024</v>
      </c>
      <c r="L16" s="34">
        <v>2025</v>
      </c>
    </row>
    <row r="17" spans="1:12" x14ac:dyDescent="0.35">
      <c r="A17" s="34" t="str">
        <f>'[1]Population Definitions'!$A$3</f>
        <v>asx_hm</v>
      </c>
      <c r="B17" s="35" t="s">
        <v>32</v>
      </c>
      <c r="C17" s="35" t="s">
        <v>36</v>
      </c>
      <c r="D17" s="36"/>
      <c r="E17" s="36">
        <v>1.86</v>
      </c>
      <c r="F17" s="38" t="s">
        <v>34</v>
      </c>
      <c r="G17" s="36"/>
      <c r="H17" s="36"/>
      <c r="I17" s="36"/>
      <c r="J17" s="36"/>
      <c r="K17" s="36"/>
      <c r="L17" s="36"/>
    </row>
    <row r="19" spans="1:12" x14ac:dyDescent="0.35">
      <c r="A19" s="34" t="s">
        <v>206</v>
      </c>
      <c r="B19" s="34" t="s">
        <v>28</v>
      </c>
      <c r="C19" s="34" t="s">
        <v>29</v>
      </c>
      <c r="D19" s="34" t="s">
        <v>30</v>
      </c>
      <c r="E19" s="34" t="s">
        <v>31</v>
      </c>
      <c r="F19" s="34"/>
      <c r="G19" s="34">
        <v>2020</v>
      </c>
      <c r="H19" s="34">
        <v>2021</v>
      </c>
      <c r="I19" s="34">
        <v>2022</v>
      </c>
      <c r="J19" s="34">
        <v>2023</v>
      </c>
      <c r="K19" s="34">
        <v>2024</v>
      </c>
      <c r="L19" s="34">
        <v>2025</v>
      </c>
    </row>
    <row r="20" spans="1:12" x14ac:dyDescent="0.35">
      <c r="A20" s="34" t="str">
        <f>'Population Definitions'!$A$3</f>
        <v>asx_hm</v>
      </c>
      <c r="B20" s="35" t="s">
        <v>32</v>
      </c>
      <c r="C20" s="35" t="s">
        <v>36</v>
      </c>
      <c r="D20" s="36"/>
      <c r="E20" s="39">
        <v>5.0000000000000001E-3</v>
      </c>
      <c r="F20" s="38" t="s">
        <v>34</v>
      </c>
      <c r="G20" s="39"/>
      <c r="H20" s="36"/>
      <c r="I20" s="36"/>
      <c r="J20" s="36"/>
      <c r="K20" s="36"/>
      <c r="L20" s="36"/>
    </row>
    <row r="22" spans="1:12" x14ac:dyDescent="0.35">
      <c r="A22" s="34" t="s">
        <v>272</v>
      </c>
      <c r="B22" s="34" t="s">
        <v>28</v>
      </c>
      <c r="C22" s="34" t="s">
        <v>29</v>
      </c>
      <c r="D22" s="34" t="s">
        <v>30</v>
      </c>
      <c r="E22" s="34" t="s">
        <v>31</v>
      </c>
      <c r="F22" s="34"/>
      <c r="G22" s="34">
        <v>2020</v>
      </c>
      <c r="H22" s="34">
        <v>2021</v>
      </c>
      <c r="I22" s="34">
        <v>2022</v>
      </c>
      <c r="J22" s="34">
        <v>2023</v>
      </c>
      <c r="K22" s="34">
        <v>2024</v>
      </c>
      <c r="L22" s="34">
        <v>2025</v>
      </c>
    </row>
    <row r="23" spans="1:12" x14ac:dyDescent="0.35">
      <c r="A23" s="34" t="str">
        <f>'Population Definitions'!$A$3</f>
        <v>asx_hm</v>
      </c>
      <c r="B23" s="35" t="s">
        <v>32</v>
      </c>
      <c r="C23" s="35" t="s">
        <v>36</v>
      </c>
      <c r="D23" s="36"/>
      <c r="E23" s="39">
        <v>3.3301490929366802E-2</v>
      </c>
      <c r="F23" s="38" t="s">
        <v>34</v>
      </c>
      <c r="G23" s="39"/>
      <c r="H23" s="36"/>
      <c r="I23" s="36"/>
      <c r="J23" s="36"/>
      <c r="K23" s="36"/>
      <c r="L23" s="36"/>
    </row>
    <row r="25" spans="1:12" x14ac:dyDescent="0.35">
      <c r="A25" s="34" t="s">
        <v>47</v>
      </c>
      <c r="B25" s="34" t="s">
        <v>28</v>
      </c>
      <c r="C25" s="34" t="s">
        <v>29</v>
      </c>
      <c r="D25" s="34" t="s">
        <v>30</v>
      </c>
      <c r="E25" s="34" t="s">
        <v>31</v>
      </c>
      <c r="F25" s="34"/>
      <c r="G25" s="34">
        <v>2020</v>
      </c>
      <c r="H25" s="34">
        <v>2021</v>
      </c>
      <c r="I25" s="34">
        <v>2022</v>
      </c>
      <c r="J25" s="34">
        <v>2023</v>
      </c>
      <c r="K25" s="34">
        <v>2024</v>
      </c>
      <c r="L25" s="34">
        <v>2025</v>
      </c>
    </row>
    <row r="26" spans="1:12" x14ac:dyDescent="0.35">
      <c r="A26" s="34" t="str">
        <f>'Population Definitions'!$A$3</f>
        <v>asx_hm</v>
      </c>
      <c r="B26" s="35" t="s">
        <v>32</v>
      </c>
      <c r="C26" s="35" t="s">
        <v>36</v>
      </c>
      <c r="D26" s="36"/>
      <c r="E26" s="36">
        <v>3.2</v>
      </c>
      <c r="F26" s="38" t="s">
        <v>34</v>
      </c>
      <c r="G26" s="36"/>
      <c r="H26" s="36"/>
      <c r="I26" s="36"/>
      <c r="J26" s="36"/>
      <c r="K26" s="36"/>
      <c r="L26" s="36"/>
    </row>
    <row r="28" spans="1:12" x14ac:dyDescent="0.35">
      <c r="A28" s="34" t="s">
        <v>48</v>
      </c>
      <c r="B28" s="34" t="s">
        <v>28</v>
      </c>
      <c r="C28" s="34" t="s">
        <v>29</v>
      </c>
      <c r="D28" s="34" t="s">
        <v>30</v>
      </c>
      <c r="E28" s="34" t="s">
        <v>31</v>
      </c>
      <c r="F28" s="34"/>
      <c r="G28" s="34">
        <v>2020</v>
      </c>
      <c r="H28" s="34">
        <v>2021</v>
      </c>
      <c r="I28" s="34">
        <v>2022</v>
      </c>
      <c r="J28" s="34">
        <v>2023</v>
      </c>
      <c r="K28" s="34">
        <v>2024</v>
      </c>
      <c r="L28" s="34">
        <v>2025</v>
      </c>
    </row>
    <row r="29" spans="1:12" x14ac:dyDescent="0.35">
      <c r="A29" s="34" t="str">
        <f>'Population Definitions'!$A$3</f>
        <v>asx_hm</v>
      </c>
      <c r="B29" s="35" t="s">
        <v>32</v>
      </c>
      <c r="C29" s="35" t="s">
        <v>36</v>
      </c>
      <c r="D29" s="36"/>
      <c r="E29" s="36">
        <v>0</v>
      </c>
      <c r="F29" s="38" t="s">
        <v>34</v>
      </c>
      <c r="G29" s="36"/>
      <c r="H29" s="36"/>
      <c r="I29" s="36"/>
      <c r="J29" s="36"/>
      <c r="K29" s="36"/>
      <c r="L29" s="36"/>
    </row>
    <row r="31" spans="1:12" x14ac:dyDescent="0.35">
      <c r="A31" s="34" t="s">
        <v>49</v>
      </c>
      <c r="B31" s="34" t="s">
        <v>28</v>
      </c>
      <c r="C31" s="34" t="s">
        <v>29</v>
      </c>
      <c r="D31" s="34" t="s">
        <v>30</v>
      </c>
      <c r="E31" s="34" t="s">
        <v>31</v>
      </c>
      <c r="F31" s="34"/>
      <c r="G31" s="34">
        <v>2020</v>
      </c>
      <c r="H31" s="34">
        <v>2021</v>
      </c>
      <c r="I31" s="34">
        <v>2022</v>
      </c>
      <c r="J31" s="34">
        <v>2023</v>
      </c>
      <c r="K31" s="34">
        <v>2024</v>
      </c>
      <c r="L31" s="34">
        <v>2025</v>
      </c>
    </row>
    <row r="32" spans="1:12" x14ac:dyDescent="0.35">
      <c r="A32" s="34" t="str">
        <f>'Population Definitions'!$A$3</f>
        <v>asx_hm</v>
      </c>
      <c r="B32" s="35" t="s">
        <v>32</v>
      </c>
      <c r="C32" s="35" t="s">
        <v>36</v>
      </c>
      <c r="D32" s="36"/>
      <c r="E32" s="36">
        <v>0</v>
      </c>
      <c r="F32" s="38" t="s">
        <v>34</v>
      </c>
      <c r="G32" s="36"/>
      <c r="H32" s="36"/>
      <c r="I32" s="36"/>
      <c r="J32" s="36"/>
      <c r="K32" s="36"/>
      <c r="L32" s="36"/>
    </row>
    <row r="34" spans="1:12" x14ac:dyDescent="0.35">
      <c r="A34" s="34" t="s">
        <v>274</v>
      </c>
      <c r="B34" s="34" t="s">
        <v>28</v>
      </c>
      <c r="C34" s="34" t="s">
        <v>29</v>
      </c>
      <c r="D34" s="34" t="s">
        <v>30</v>
      </c>
      <c r="E34" s="34" t="s">
        <v>31</v>
      </c>
      <c r="F34" s="34"/>
      <c r="G34" s="34">
        <v>2020</v>
      </c>
      <c r="H34" s="34">
        <v>2021</v>
      </c>
      <c r="I34" s="34">
        <v>2022</v>
      </c>
      <c r="J34" s="34">
        <v>2023</v>
      </c>
      <c r="K34" s="34">
        <v>2024</v>
      </c>
      <c r="L34" s="34">
        <v>2025</v>
      </c>
    </row>
    <row r="35" spans="1:12" x14ac:dyDescent="0.35">
      <c r="A35" s="34" t="str">
        <f>'Population Definitions'!$A$3</f>
        <v>asx_hm</v>
      </c>
      <c r="B35" s="35" t="s">
        <v>32</v>
      </c>
      <c r="C35" s="35" t="s">
        <v>36</v>
      </c>
      <c r="D35" s="36"/>
      <c r="E35" s="39">
        <v>0.28000000000000003</v>
      </c>
      <c r="F35" s="38" t="s">
        <v>34</v>
      </c>
      <c r="G35" s="39"/>
      <c r="H35" s="36"/>
      <c r="I35" s="36"/>
      <c r="J35" s="36"/>
      <c r="K35" s="36"/>
      <c r="L35" s="36"/>
    </row>
    <row r="37" spans="1:12" x14ac:dyDescent="0.35">
      <c r="A37" s="34" t="s">
        <v>273</v>
      </c>
      <c r="B37" s="34" t="s">
        <v>28</v>
      </c>
      <c r="C37" s="34" t="s">
        <v>29</v>
      </c>
      <c r="D37" s="34" t="s">
        <v>30</v>
      </c>
      <c r="E37" s="34" t="s">
        <v>31</v>
      </c>
      <c r="F37" s="34"/>
      <c r="G37" s="34">
        <v>2020</v>
      </c>
      <c r="H37" s="34">
        <v>2021</v>
      </c>
      <c r="I37" s="34">
        <v>2022</v>
      </c>
      <c r="J37" s="34">
        <v>2023</v>
      </c>
      <c r="K37" s="34">
        <v>2024</v>
      </c>
      <c r="L37" s="34">
        <v>2025</v>
      </c>
    </row>
    <row r="38" spans="1:12" x14ac:dyDescent="0.35">
      <c r="A38" s="34" t="str">
        <f>'Population Definitions'!$A$3</f>
        <v>asx_hm</v>
      </c>
      <c r="B38" s="35" t="s">
        <v>32</v>
      </c>
      <c r="C38" s="35" t="s">
        <v>36</v>
      </c>
      <c r="D38" s="36"/>
      <c r="E38" s="33">
        <v>0.28000000000000003</v>
      </c>
      <c r="F38" s="38" t="s">
        <v>34</v>
      </c>
      <c r="G38" s="39"/>
      <c r="H38" s="36"/>
      <c r="I38" s="36"/>
      <c r="J38" s="36"/>
      <c r="K38" s="36"/>
      <c r="L38" s="36"/>
    </row>
    <row r="40" spans="1:12" x14ac:dyDescent="0.35">
      <c r="A40" s="34" t="s">
        <v>207</v>
      </c>
      <c r="B40" s="34" t="s">
        <v>28</v>
      </c>
      <c r="C40" s="34" t="s">
        <v>29</v>
      </c>
      <c r="D40" s="34" t="s">
        <v>30</v>
      </c>
      <c r="E40" s="34" t="s">
        <v>31</v>
      </c>
      <c r="F40" s="34"/>
      <c r="G40" s="34">
        <v>2020</v>
      </c>
      <c r="H40" s="34">
        <v>2021</v>
      </c>
      <c r="I40" s="34">
        <v>2022</v>
      </c>
      <c r="J40" s="34">
        <v>2023</v>
      </c>
      <c r="K40" s="34">
        <v>2024</v>
      </c>
      <c r="L40" s="34">
        <v>2025</v>
      </c>
    </row>
    <row r="41" spans="1:12" x14ac:dyDescent="0.35">
      <c r="A41" s="34" t="str">
        <f>'Population Definitions'!$A$3</f>
        <v>asx_hm</v>
      </c>
      <c r="B41" s="35" t="s">
        <v>32</v>
      </c>
      <c r="C41" s="35" t="s">
        <v>36</v>
      </c>
      <c r="D41" s="36"/>
      <c r="E41" s="40">
        <v>6.0999999999999999E-2</v>
      </c>
      <c r="F41" s="38" t="s">
        <v>34</v>
      </c>
      <c r="G41" s="36"/>
      <c r="H41" s="36"/>
      <c r="I41" s="36"/>
      <c r="J41" s="36"/>
      <c r="K41" s="36"/>
      <c r="L41" s="36"/>
    </row>
    <row r="43" spans="1:12" x14ac:dyDescent="0.35">
      <c r="A43" s="34" t="s">
        <v>208</v>
      </c>
      <c r="B43" s="34" t="s">
        <v>28</v>
      </c>
      <c r="C43" s="34" t="s">
        <v>29</v>
      </c>
      <c r="D43" s="34" t="s">
        <v>30</v>
      </c>
      <c r="E43" s="34" t="s">
        <v>31</v>
      </c>
      <c r="F43" s="34"/>
      <c r="G43" s="34">
        <v>2020</v>
      </c>
      <c r="H43" s="34">
        <v>2021</v>
      </c>
      <c r="I43" s="34">
        <v>2022</v>
      </c>
      <c r="J43" s="34">
        <v>2023</v>
      </c>
      <c r="K43" s="34">
        <v>2024</v>
      </c>
      <c r="L43" s="34">
        <v>2025</v>
      </c>
    </row>
    <row r="44" spans="1:12" x14ac:dyDescent="0.35">
      <c r="A44" s="34" t="str">
        <f>'Population Definitions'!$A$3</f>
        <v>asx_hm</v>
      </c>
      <c r="B44" s="35" t="s">
        <v>32</v>
      </c>
      <c r="C44" s="35" t="s">
        <v>36</v>
      </c>
      <c r="D44" s="36"/>
      <c r="E44" s="40">
        <v>3.53</v>
      </c>
      <c r="F44" s="38" t="s">
        <v>34</v>
      </c>
      <c r="G44" s="36"/>
      <c r="H44" s="36"/>
      <c r="I44" s="36"/>
      <c r="J44" s="36"/>
      <c r="K44" s="36"/>
      <c r="L44" s="36"/>
    </row>
    <row r="46" spans="1:12" x14ac:dyDescent="0.35">
      <c r="A46" s="34" t="s">
        <v>192</v>
      </c>
      <c r="B46" s="34" t="s">
        <v>28</v>
      </c>
      <c r="C46" s="34" t="s">
        <v>29</v>
      </c>
      <c r="D46" s="34" t="s">
        <v>30</v>
      </c>
      <c r="E46" s="34" t="s">
        <v>31</v>
      </c>
      <c r="F46" s="34"/>
      <c r="G46" s="34">
        <v>2020</v>
      </c>
      <c r="H46" s="34">
        <v>2021</v>
      </c>
      <c r="I46" s="34">
        <v>2022</v>
      </c>
      <c r="J46" s="34">
        <v>2023</v>
      </c>
      <c r="K46" s="34">
        <v>2024</v>
      </c>
      <c r="L46" s="34">
        <v>2025</v>
      </c>
    </row>
    <row r="47" spans="1:12" x14ac:dyDescent="0.35">
      <c r="A47" s="34" t="str">
        <f>'[2]Population Definitions'!$A$3</f>
        <v>asx_hm</v>
      </c>
      <c r="C47" s="35" t="s">
        <v>64</v>
      </c>
      <c r="D47" s="36"/>
      <c r="E47" s="37">
        <v>192009.62581</v>
      </c>
      <c r="F47" s="38" t="s">
        <v>34</v>
      </c>
      <c r="G47" s="41"/>
      <c r="H47" s="41"/>
      <c r="I47" s="41"/>
      <c r="J47" s="41"/>
      <c r="K47" s="41"/>
      <c r="L47" s="41"/>
    </row>
    <row r="49" spans="1:12" x14ac:dyDescent="0.35">
      <c r="A49" s="34" t="s">
        <v>209</v>
      </c>
      <c r="B49" s="34" t="s">
        <v>28</v>
      </c>
      <c r="C49" s="34" t="s">
        <v>29</v>
      </c>
      <c r="D49" s="34" t="s">
        <v>30</v>
      </c>
      <c r="E49" s="34" t="s">
        <v>31</v>
      </c>
      <c r="F49" s="34"/>
      <c r="G49" s="34">
        <v>2020</v>
      </c>
      <c r="H49" s="34">
        <v>2021</v>
      </c>
      <c r="I49" s="34">
        <v>2022</v>
      </c>
      <c r="J49" s="34">
        <v>2023</v>
      </c>
      <c r="K49" s="34">
        <v>2024</v>
      </c>
      <c r="L49" s="34">
        <v>2025</v>
      </c>
    </row>
    <row r="50" spans="1:12" x14ac:dyDescent="0.35">
      <c r="A50" s="34" t="str">
        <f>'[2]Population Definitions'!$A$3</f>
        <v>asx_hm</v>
      </c>
      <c r="C50" s="35" t="s">
        <v>64</v>
      </c>
      <c r="D50" s="36"/>
      <c r="E50" s="35">
        <v>69463.419649999996</v>
      </c>
      <c r="F50" s="38" t="s">
        <v>34</v>
      </c>
      <c r="G50" s="41"/>
      <c r="H50" s="41"/>
      <c r="I50" s="41"/>
      <c r="J50" s="41"/>
      <c r="K50" s="41"/>
      <c r="L50" s="41"/>
    </row>
    <row r="52" spans="1:12" x14ac:dyDescent="0.35">
      <c r="A52" s="34" t="s">
        <v>193</v>
      </c>
      <c r="B52" s="34" t="s">
        <v>28</v>
      </c>
      <c r="C52" s="34" t="s">
        <v>29</v>
      </c>
      <c r="D52" s="34" t="s">
        <v>30</v>
      </c>
      <c r="E52" s="34" t="s">
        <v>31</v>
      </c>
      <c r="F52" s="34"/>
      <c r="G52" s="34">
        <v>2020</v>
      </c>
      <c r="H52" s="34">
        <v>2021</v>
      </c>
      <c r="I52" s="34">
        <v>2022</v>
      </c>
      <c r="J52" s="34">
        <v>2023</v>
      </c>
      <c r="K52" s="34">
        <v>2024</v>
      </c>
      <c r="L52" s="34">
        <v>2025</v>
      </c>
    </row>
    <row r="53" spans="1:12" x14ac:dyDescent="0.35">
      <c r="A53" s="34" t="str">
        <f>'[2]Population Definitions'!$A$3</f>
        <v>asx_hm</v>
      </c>
      <c r="C53" s="35" t="s">
        <v>64</v>
      </c>
      <c r="D53" s="36"/>
      <c r="E53" s="37">
        <v>325923.02</v>
      </c>
      <c r="F53" s="38" t="s">
        <v>34</v>
      </c>
      <c r="G53" s="41"/>
      <c r="H53" s="41"/>
      <c r="I53" s="41"/>
      <c r="J53" s="41"/>
      <c r="K53" s="41"/>
      <c r="L53" s="41"/>
    </row>
    <row r="55" spans="1:12" x14ac:dyDescent="0.35">
      <c r="A55" s="34" t="s">
        <v>301</v>
      </c>
      <c r="B55" s="34" t="s">
        <v>28</v>
      </c>
      <c r="C55" s="34" t="s">
        <v>29</v>
      </c>
      <c r="D55" s="34" t="s">
        <v>30</v>
      </c>
      <c r="E55" s="34" t="s">
        <v>31</v>
      </c>
      <c r="F55" s="34"/>
      <c r="G55" s="34">
        <v>2020</v>
      </c>
      <c r="H55" s="34">
        <v>2021</v>
      </c>
      <c r="I55" s="34">
        <v>2022</v>
      </c>
      <c r="J55" s="34">
        <v>2023</v>
      </c>
      <c r="K55" s="34">
        <v>2024</v>
      </c>
      <c r="L55" s="34">
        <v>2025</v>
      </c>
    </row>
    <row r="56" spans="1:12" x14ac:dyDescent="0.35">
      <c r="A56" s="34" t="str">
        <f>'[4]Population Definitions'!$A$3</f>
        <v>asx_hm</v>
      </c>
      <c r="B56" s="35" t="s">
        <v>32</v>
      </c>
      <c r="C56" s="35" t="s">
        <v>36</v>
      </c>
      <c r="D56" s="36"/>
      <c r="E56" s="36">
        <v>0</v>
      </c>
      <c r="F56" s="38" t="s">
        <v>34</v>
      </c>
      <c r="G56" s="36"/>
      <c r="H56" s="36"/>
      <c r="I56" s="36"/>
      <c r="J56" s="36"/>
      <c r="K56" s="36"/>
      <c r="L56" s="36"/>
    </row>
    <row r="58" spans="1:12" x14ac:dyDescent="0.35">
      <c r="A58" s="34" t="s">
        <v>302</v>
      </c>
      <c r="B58" s="34" t="s">
        <v>28</v>
      </c>
      <c r="C58" s="34" t="s">
        <v>29</v>
      </c>
      <c r="D58" s="34" t="s">
        <v>30</v>
      </c>
      <c r="E58" s="34" t="s">
        <v>31</v>
      </c>
      <c r="F58" s="34"/>
      <c r="G58" s="34">
        <v>2020</v>
      </c>
      <c r="H58" s="34">
        <v>2021</v>
      </c>
      <c r="I58" s="34">
        <v>2022</v>
      </c>
      <c r="J58" s="34">
        <v>2023</v>
      </c>
      <c r="K58" s="34">
        <v>2024</v>
      </c>
      <c r="L58" s="34">
        <v>2025</v>
      </c>
    </row>
    <row r="59" spans="1:12" x14ac:dyDescent="0.35">
      <c r="A59" s="34" t="str">
        <f>'[4]Population Definitions'!$A$3</f>
        <v>asx_hm</v>
      </c>
      <c r="B59" s="35" t="s">
        <v>32</v>
      </c>
      <c r="C59" s="35" t="s">
        <v>36</v>
      </c>
      <c r="D59" s="36"/>
      <c r="E59" s="36">
        <v>0</v>
      </c>
      <c r="F59" s="38" t="s">
        <v>34</v>
      </c>
      <c r="G59" s="36"/>
      <c r="H59" s="36"/>
      <c r="I59" s="36"/>
      <c r="J59" s="36"/>
      <c r="K59" s="36"/>
      <c r="L59" s="36"/>
    </row>
  </sheetData>
  <conditionalFormatting sqref="E14">
    <cfRule type="expression" dxfId="749" priority="5">
      <formula>COUNTIF(G14:L14,"&lt;&gt;" &amp; "")&gt;0</formula>
    </cfRule>
    <cfRule type="expression" dxfId="748" priority="6">
      <formula>AND(COUNTIF(G14:L14,"&lt;&gt;" &amp; "")&gt;0,NOT(ISBLANK(E14)))</formula>
    </cfRule>
  </conditionalFormatting>
  <conditionalFormatting sqref="E17">
    <cfRule type="expression" dxfId="747" priority="7">
      <formula>COUNTIF(G17:L17,"&lt;&gt;" &amp; "")&gt;0</formula>
    </cfRule>
    <cfRule type="expression" dxfId="746" priority="8">
      <formula>AND(COUNTIF(G17:L17,"&lt;&gt;" &amp; "")&gt;0,NOT(ISBLANK(E17)))</formula>
    </cfRule>
  </conditionalFormatting>
  <conditionalFormatting sqref="E26">
    <cfRule type="expression" dxfId="745" priority="39">
      <formula>COUNTIF(G26:L26,"&lt;&gt;" &amp; "")&gt;0</formula>
    </cfRule>
    <cfRule type="expression" dxfId="744" priority="40">
      <formula>AND(COUNTIF(G26:L26,"&lt;&gt;" &amp; "")&gt;0,NOT(ISBLANK(E26)))</formula>
    </cfRule>
  </conditionalFormatting>
  <conditionalFormatting sqref="E29">
    <cfRule type="expression" dxfId="743" priority="41">
      <formula>COUNTIF(G29:L29,"&lt;&gt;" &amp; "")&gt;0</formula>
    </cfRule>
    <cfRule type="expression" dxfId="742" priority="42">
      <formula>AND(COUNTIF(G29:L29,"&lt;&gt;" &amp; "")&gt;0,NOT(ISBLANK(E29)))</formula>
    </cfRule>
  </conditionalFormatting>
  <conditionalFormatting sqref="E32">
    <cfRule type="expression" dxfId="741" priority="43">
      <formula>COUNTIF(G32:L32,"&lt;&gt;" &amp; "")&gt;0</formula>
    </cfRule>
    <cfRule type="expression" dxfId="740" priority="44">
      <formula>AND(COUNTIF(G32:L32,"&lt;&gt;" &amp; "")&gt;0,NOT(ISBLANK(E32)))</formula>
    </cfRule>
  </conditionalFormatting>
  <conditionalFormatting sqref="E47">
    <cfRule type="expression" dxfId="739" priority="19">
      <formula>COUNTIF(G47:L47,"&lt;&gt;" &amp; "")&gt;0</formula>
    </cfRule>
    <cfRule type="expression" dxfId="738" priority="20">
      <formula>AND(COUNTIF(G47:L47,"&lt;&gt;" &amp; "")&gt;0,NOT(ISBLANK(E47)))</formula>
    </cfRule>
  </conditionalFormatting>
  <conditionalFormatting sqref="E50">
    <cfRule type="expression" dxfId="737" priority="21">
      <formula>COUNTIF(G50:L50,"&lt;&gt;" &amp; "")&gt;0</formula>
    </cfRule>
    <cfRule type="expression" dxfId="736" priority="22">
      <formula>AND(COUNTIF(G50:L50,"&lt;&gt;" &amp; "")&gt;0,NOT(ISBLANK(E50)))</formula>
    </cfRule>
  </conditionalFormatting>
  <conditionalFormatting sqref="E53">
    <cfRule type="expression" dxfId="735" priority="23">
      <formula>COUNTIF(G53:L53,"&lt;&gt;" &amp; "")&gt;0</formula>
    </cfRule>
    <cfRule type="expression" dxfId="734" priority="24">
      <formula>AND(COUNTIF(G53:L53,"&lt;&gt;" &amp; "")&gt;0,NOT(ISBLANK(E53)))</formula>
    </cfRule>
  </conditionalFormatting>
  <conditionalFormatting sqref="E56">
    <cfRule type="expression" dxfId="733" priority="9">
      <formula>COUNTIF(G56:L56,"&lt;&gt;" &amp; "")&gt;0</formula>
    </cfRule>
    <cfRule type="expression" dxfId="732" priority="10">
      <formula>AND(COUNTIF(G56:L56,"&lt;&gt;" &amp; "")&gt;0,NOT(ISBLANK(E56)))</formula>
    </cfRule>
  </conditionalFormatting>
  <conditionalFormatting sqref="E59">
    <cfRule type="expression" dxfId="731" priority="11">
      <formula>COUNTIF(G59:L59,"&lt;&gt;" &amp; "")&gt;0</formula>
    </cfRule>
    <cfRule type="expression" dxfId="730" priority="12">
      <formula>AND(COUNTIF(G59:L59,"&lt;&gt;" &amp; "")&gt;0,NOT(ISBLANK(E59)))</formula>
    </cfRule>
  </conditionalFormatting>
  <dataValidations count="2">
    <dataValidation type="list" allowBlank="1" showInputMessage="1" showErrorMessage="1" sqref="C2 C44 C41 C38 C32 C29 C26 C23 C20 C8 C5 C35 C56 C59 C11 C17 C14" xr:uid="{00000000-0002-0000-0200-000000000000}">
      <formula1>"Proportion"</formula1>
    </dataValidation>
    <dataValidation type="list" allowBlank="1" showInputMessage="1" showErrorMessage="1" sqref="C47 C53 C50" xr:uid="{F0EDE492-8C63-4FDA-918D-C7FADF42F091}">
      <formula1>"Number"</formula1>
    </dataValidation>
  </dataValidations>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L59"/>
  <sheetViews>
    <sheetView topLeftCell="A40" workbookViewId="0">
      <selection activeCell="E1" sqref="E1:E1048576"/>
    </sheetView>
  </sheetViews>
  <sheetFormatPr defaultRowHeight="14.5" x14ac:dyDescent="0.35"/>
  <cols>
    <col min="1" max="1" width="106.54296875" customWidth="1"/>
    <col min="2" max="2" width="30.26953125" customWidth="1"/>
    <col min="3" max="3" width="12.7265625" customWidth="1"/>
    <col min="4" max="4" width="13.81640625" customWidth="1"/>
    <col min="5" max="5" width="10.54296875" style="35" customWidth="1"/>
    <col min="6" max="6" width="3.81640625" customWidth="1"/>
    <col min="7" max="12" width="9.453125" customWidth="1"/>
  </cols>
  <sheetData>
    <row r="1" spans="1:12" x14ac:dyDescent="0.35">
      <c r="A1" s="1" t="s">
        <v>50</v>
      </c>
      <c r="B1" s="1" t="s">
        <v>28</v>
      </c>
      <c r="C1" s="1" t="s">
        <v>29</v>
      </c>
      <c r="D1" s="1" t="s">
        <v>30</v>
      </c>
      <c r="E1" s="34" t="s">
        <v>31</v>
      </c>
      <c r="F1" s="1"/>
      <c r="G1" s="1">
        <v>2020</v>
      </c>
      <c r="H1" s="1">
        <v>2021</v>
      </c>
      <c r="I1" s="1">
        <v>2022</v>
      </c>
      <c r="J1" s="1">
        <v>2023</v>
      </c>
      <c r="K1" s="1">
        <v>2024</v>
      </c>
      <c r="L1" s="1">
        <v>2025</v>
      </c>
    </row>
    <row r="2" spans="1:12" x14ac:dyDescent="0.35">
      <c r="A2" s="1" t="str">
        <f>'Population Definitions'!$A$4</f>
        <v>an_hm</v>
      </c>
      <c r="B2" t="s">
        <v>32</v>
      </c>
      <c r="C2" t="s">
        <v>36</v>
      </c>
      <c r="D2" s="3"/>
      <c r="E2" s="36">
        <v>10</v>
      </c>
      <c r="F2" s="4" t="s">
        <v>34</v>
      </c>
      <c r="G2" s="3"/>
      <c r="H2" s="3"/>
      <c r="I2" s="3"/>
      <c r="J2" s="3"/>
      <c r="K2" s="3"/>
      <c r="L2" s="3"/>
    </row>
    <row r="4" spans="1:12" x14ac:dyDescent="0.35">
      <c r="A4" s="1" t="s">
        <v>278</v>
      </c>
      <c r="B4" s="1" t="s">
        <v>28</v>
      </c>
      <c r="C4" s="1" t="s">
        <v>29</v>
      </c>
      <c r="D4" s="1" t="s">
        <v>30</v>
      </c>
      <c r="E4" s="34" t="s">
        <v>31</v>
      </c>
      <c r="F4" s="1"/>
      <c r="G4" s="1">
        <v>2020</v>
      </c>
      <c r="H4" s="1">
        <v>2021</v>
      </c>
      <c r="I4" s="1">
        <v>2022</v>
      </c>
      <c r="J4" s="1">
        <v>2023</v>
      </c>
      <c r="K4" s="1">
        <v>2024</v>
      </c>
      <c r="L4" s="1">
        <v>2025</v>
      </c>
    </row>
    <row r="5" spans="1:12" x14ac:dyDescent="0.35">
      <c r="A5" s="1" t="str">
        <f>'Population Definitions'!$A$4</f>
        <v>an_hm</v>
      </c>
      <c r="B5" t="s">
        <v>32</v>
      </c>
      <c r="C5" t="s">
        <v>36</v>
      </c>
      <c r="D5" s="3"/>
      <c r="E5" s="36">
        <v>5</v>
      </c>
      <c r="F5" s="4" t="s">
        <v>34</v>
      </c>
      <c r="G5" s="3"/>
      <c r="H5" s="3"/>
      <c r="I5" s="3"/>
      <c r="J5" s="3"/>
      <c r="K5" s="3"/>
      <c r="L5" s="3"/>
    </row>
    <row r="7" spans="1:12" x14ac:dyDescent="0.35">
      <c r="A7" s="1" t="s">
        <v>279</v>
      </c>
      <c r="B7" s="1" t="s">
        <v>28</v>
      </c>
      <c r="C7" s="1" t="s">
        <v>29</v>
      </c>
      <c r="D7" s="1" t="s">
        <v>30</v>
      </c>
      <c r="E7" s="34" t="s">
        <v>31</v>
      </c>
      <c r="F7" s="1"/>
      <c r="G7" s="1">
        <v>2020</v>
      </c>
      <c r="H7" s="1">
        <v>2021</v>
      </c>
      <c r="I7" s="1">
        <v>2022</v>
      </c>
      <c r="J7" s="1">
        <v>2023</v>
      </c>
      <c r="K7" s="1">
        <v>2024</v>
      </c>
      <c r="L7" s="1">
        <v>2025</v>
      </c>
    </row>
    <row r="8" spans="1:12" x14ac:dyDescent="0.35">
      <c r="A8" s="1" t="str">
        <f>'Population Definitions'!$A$4</f>
        <v>an_hm</v>
      </c>
      <c r="B8" t="s">
        <v>32</v>
      </c>
      <c r="C8" t="s">
        <v>36</v>
      </c>
      <c r="D8" s="3"/>
      <c r="E8" s="36">
        <v>2.5</v>
      </c>
      <c r="F8" s="4" t="s">
        <v>34</v>
      </c>
      <c r="G8" s="3"/>
      <c r="H8" s="3"/>
      <c r="I8" s="3"/>
      <c r="J8" s="3"/>
      <c r="K8" s="3"/>
      <c r="L8" s="3"/>
    </row>
    <row r="10" spans="1:12" x14ac:dyDescent="0.35">
      <c r="A10" s="1" t="s">
        <v>51</v>
      </c>
      <c r="B10" s="1" t="s">
        <v>28</v>
      </c>
      <c r="C10" s="1" t="s">
        <v>29</v>
      </c>
      <c r="D10" s="1" t="s">
        <v>30</v>
      </c>
      <c r="E10" s="34" t="s">
        <v>31</v>
      </c>
      <c r="F10" s="1"/>
      <c r="G10" s="1">
        <v>2020</v>
      </c>
      <c r="H10" s="1">
        <v>2021</v>
      </c>
      <c r="I10" s="1">
        <v>2022</v>
      </c>
      <c r="J10" s="1">
        <v>2023</v>
      </c>
      <c r="K10" s="1">
        <v>2024</v>
      </c>
      <c r="L10" s="1">
        <v>2025</v>
      </c>
    </row>
    <row r="11" spans="1:12" x14ac:dyDescent="0.35">
      <c r="A11" s="1" t="str">
        <f>'Population Definitions'!$A$4</f>
        <v>an_hm</v>
      </c>
      <c r="B11" t="s">
        <v>32</v>
      </c>
      <c r="C11" t="s">
        <v>36</v>
      </c>
      <c r="D11" s="3"/>
      <c r="E11" s="36">
        <v>0.28000000000000003</v>
      </c>
      <c r="F11" s="4" t="s">
        <v>34</v>
      </c>
      <c r="G11" s="3"/>
      <c r="H11" s="3"/>
      <c r="I11" s="3"/>
      <c r="J11" s="3"/>
      <c r="K11" s="3"/>
      <c r="L11" s="3"/>
    </row>
    <row r="13" spans="1:12" x14ac:dyDescent="0.35">
      <c r="A13" s="1" t="s">
        <v>351</v>
      </c>
      <c r="B13" s="1" t="s">
        <v>28</v>
      </c>
      <c r="C13" s="1" t="s">
        <v>29</v>
      </c>
      <c r="D13" s="1" t="s">
        <v>30</v>
      </c>
      <c r="E13" s="34" t="s">
        <v>31</v>
      </c>
      <c r="F13" s="1"/>
      <c r="G13" s="1">
        <v>2020</v>
      </c>
      <c r="H13" s="1">
        <v>2021</v>
      </c>
      <c r="I13" s="1">
        <v>2022</v>
      </c>
      <c r="J13" s="1">
        <v>2023</v>
      </c>
      <c r="K13" s="1">
        <v>2024</v>
      </c>
      <c r="L13" s="1">
        <v>2025</v>
      </c>
    </row>
    <row r="14" spans="1:12" x14ac:dyDescent="0.35">
      <c r="A14" s="1" t="str">
        <f>'Population Definitions'!$A$4</f>
        <v>an_hm</v>
      </c>
      <c r="B14" t="s">
        <v>32</v>
      </c>
      <c r="C14" t="s">
        <v>36</v>
      </c>
      <c r="D14" s="3"/>
      <c r="E14" s="36">
        <v>0.45</v>
      </c>
      <c r="F14" s="4" t="s">
        <v>34</v>
      </c>
      <c r="G14" s="3"/>
      <c r="H14" s="3"/>
      <c r="I14" s="3"/>
      <c r="J14" s="3"/>
      <c r="K14" s="3"/>
      <c r="L14" s="3"/>
    </row>
    <row r="16" spans="1:12" x14ac:dyDescent="0.35">
      <c r="A16" s="1" t="s">
        <v>52</v>
      </c>
      <c r="B16" s="1" t="s">
        <v>28</v>
      </c>
      <c r="C16" s="1" t="s">
        <v>29</v>
      </c>
      <c r="D16" s="1" t="s">
        <v>30</v>
      </c>
      <c r="E16" s="34" t="s">
        <v>31</v>
      </c>
      <c r="F16" s="1"/>
      <c r="G16" s="1">
        <v>2020</v>
      </c>
      <c r="H16" s="1">
        <v>2021</v>
      </c>
      <c r="I16" s="1">
        <v>2022</v>
      </c>
      <c r="J16" s="1">
        <v>2023</v>
      </c>
      <c r="K16" s="1">
        <v>2024</v>
      </c>
      <c r="L16" s="1">
        <v>2025</v>
      </c>
    </row>
    <row r="17" spans="1:12" x14ac:dyDescent="0.35">
      <c r="A17" s="1" t="str">
        <f>'Population Definitions'!$A$4</f>
        <v>an_hm</v>
      </c>
      <c r="B17" t="s">
        <v>32</v>
      </c>
      <c r="C17" t="s">
        <v>36</v>
      </c>
      <c r="D17" s="3"/>
      <c r="E17" s="36">
        <v>0.53</v>
      </c>
      <c r="F17" s="4" t="s">
        <v>34</v>
      </c>
      <c r="G17" s="3"/>
      <c r="H17" s="3"/>
      <c r="I17" s="3"/>
      <c r="J17" s="3"/>
      <c r="K17" s="3"/>
      <c r="L17" s="3"/>
    </row>
    <row r="19" spans="1:12" x14ac:dyDescent="0.35">
      <c r="A19" s="1" t="s">
        <v>53</v>
      </c>
      <c r="B19" s="1" t="s">
        <v>28</v>
      </c>
      <c r="C19" s="1" t="s">
        <v>29</v>
      </c>
      <c r="D19" s="1" t="s">
        <v>30</v>
      </c>
      <c r="E19" s="34" t="s">
        <v>31</v>
      </c>
      <c r="F19" s="1"/>
      <c r="G19" s="1">
        <v>2020</v>
      </c>
      <c r="H19" s="1">
        <v>2021</v>
      </c>
      <c r="I19" s="1">
        <v>2022</v>
      </c>
      <c r="J19" s="1">
        <v>2023</v>
      </c>
      <c r="K19" s="1">
        <v>2024</v>
      </c>
      <c r="L19" s="1">
        <v>2025</v>
      </c>
    </row>
    <row r="20" spans="1:12" x14ac:dyDescent="0.35">
      <c r="A20" s="1" t="str">
        <f>'Population Definitions'!$A$4</f>
        <v>an_hm</v>
      </c>
      <c r="B20" t="s">
        <v>32</v>
      </c>
      <c r="C20" t="s">
        <v>36</v>
      </c>
      <c r="D20" s="3"/>
      <c r="E20" s="36">
        <v>0.02</v>
      </c>
      <c r="F20" s="4" t="s">
        <v>34</v>
      </c>
      <c r="G20" s="3"/>
      <c r="H20" s="3"/>
      <c r="I20" s="3"/>
      <c r="J20" s="3"/>
      <c r="K20" s="3"/>
      <c r="L20" s="3"/>
    </row>
    <row r="22" spans="1:12" x14ac:dyDescent="0.35">
      <c r="A22" s="1" t="s">
        <v>54</v>
      </c>
      <c r="B22" s="1" t="s">
        <v>28</v>
      </c>
      <c r="C22" s="1" t="s">
        <v>29</v>
      </c>
      <c r="D22" s="1" t="s">
        <v>30</v>
      </c>
      <c r="E22" s="34" t="s">
        <v>31</v>
      </c>
      <c r="F22" s="1"/>
      <c r="G22" s="1">
        <v>2020</v>
      </c>
      <c r="H22" s="1">
        <v>2021</v>
      </c>
      <c r="I22" s="1">
        <v>2022</v>
      </c>
      <c r="J22" s="1">
        <v>2023</v>
      </c>
      <c r="K22" s="1">
        <v>2024</v>
      </c>
      <c r="L22" s="1">
        <v>2025</v>
      </c>
    </row>
    <row r="23" spans="1:12" x14ac:dyDescent="0.35">
      <c r="A23" s="1" t="str">
        <f>'Population Definitions'!$A$4</f>
        <v>an_hm</v>
      </c>
      <c r="B23" t="s">
        <v>32</v>
      </c>
      <c r="C23" t="s">
        <v>36</v>
      </c>
      <c r="D23" s="3"/>
      <c r="E23" s="36">
        <v>0.66700000000000004</v>
      </c>
      <c r="F23" s="4" t="s">
        <v>34</v>
      </c>
      <c r="G23" s="3"/>
      <c r="H23" s="3"/>
      <c r="I23" s="3"/>
      <c r="J23" s="3"/>
      <c r="K23" s="3"/>
      <c r="L23" s="3"/>
    </row>
    <row r="25" spans="1:12" x14ac:dyDescent="0.35">
      <c r="A25" s="1" t="s">
        <v>55</v>
      </c>
      <c r="B25" s="1" t="s">
        <v>28</v>
      </c>
      <c r="C25" s="1" t="s">
        <v>29</v>
      </c>
      <c r="D25" s="1" t="s">
        <v>30</v>
      </c>
      <c r="E25" s="34" t="s">
        <v>31</v>
      </c>
      <c r="F25" s="1"/>
      <c r="G25" s="1">
        <v>2020</v>
      </c>
      <c r="H25" s="1">
        <v>2021</v>
      </c>
      <c r="I25" s="1">
        <v>2022</v>
      </c>
      <c r="J25" s="1">
        <v>2023</v>
      </c>
      <c r="K25" s="1">
        <v>2024</v>
      </c>
      <c r="L25" s="1">
        <v>2025</v>
      </c>
    </row>
    <row r="26" spans="1:12" x14ac:dyDescent="0.35">
      <c r="A26" s="1" t="str">
        <f>'Population Definitions'!$A$4</f>
        <v>an_hm</v>
      </c>
      <c r="B26" t="s">
        <v>32</v>
      </c>
      <c r="C26" t="s">
        <v>36</v>
      </c>
      <c r="D26" s="3"/>
      <c r="E26" s="36">
        <v>0</v>
      </c>
      <c r="F26" s="4" t="s">
        <v>34</v>
      </c>
      <c r="G26" s="3"/>
      <c r="H26" s="3"/>
      <c r="I26" s="3"/>
      <c r="J26" s="3"/>
      <c r="K26" s="3"/>
      <c r="L26" s="3"/>
    </row>
    <row r="28" spans="1:12" x14ac:dyDescent="0.35">
      <c r="A28" s="1" t="s">
        <v>56</v>
      </c>
      <c r="B28" s="1" t="s">
        <v>28</v>
      </c>
      <c r="C28" s="1" t="s">
        <v>29</v>
      </c>
      <c r="D28" s="1" t="s">
        <v>30</v>
      </c>
      <c r="E28" s="34" t="s">
        <v>31</v>
      </c>
      <c r="F28" s="1"/>
      <c r="G28" s="1">
        <v>2020</v>
      </c>
      <c r="H28" s="1">
        <v>2021</v>
      </c>
      <c r="I28" s="1">
        <v>2022</v>
      </c>
      <c r="J28" s="1">
        <v>2023</v>
      </c>
      <c r="K28" s="1">
        <v>2024</v>
      </c>
      <c r="L28" s="1">
        <v>2025</v>
      </c>
    </row>
    <row r="29" spans="1:12" x14ac:dyDescent="0.35">
      <c r="A29" s="1" t="str">
        <f>'Population Definitions'!$A$4</f>
        <v>an_hm</v>
      </c>
      <c r="B29" t="s">
        <v>32</v>
      </c>
      <c r="C29" t="s">
        <v>36</v>
      </c>
      <c r="D29" s="3"/>
      <c r="E29" s="36">
        <v>0</v>
      </c>
      <c r="F29" s="4" t="s">
        <v>34</v>
      </c>
      <c r="G29" s="3"/>
      <c r="H29" s="3"/>
      <c r="I29" s="3"/>
      <c r="J29" s="3"/>
      <c r="K29" s="3"/>
      <c r="L29" s="3"/>
    </row>
    <row r="31" spans="1:12" x14ac:dyDescent="0.35">
      <c r="A31" s="1" t="s">
        <v>57</v>
      </c>
      <c r="B31" s="1" t="s">
        <v>28</v>
      </c>
      <c r="C31" s="1" t="s">
        <v>29</v>
      </c>
      <c r="D31" s="1" t="s">
        <v>30</v>
      </c>
      <c r="E31" s="34" t="s">
        <v>31</v>
      </c>
      <c r="F31" s="1"/>
      <c r="G31" s="1">
        <v>2020</v>
      </c>
      <c r="H31" s="1">
        <v>2021</v>
      </c>
      <c r="I31" s="1">
        <v>2022</v>
      </c>
      <c r="J31" s="1">
        <v>2023</v>
      </c>
      <c r="K31" s="1">
        <v>2024</v>
      </c>
      <c r="L31" s="1">
        <v>2025</v>
      </c>
    </row>
    <row r="32" spans="1:12" x14ac:dyDescent="0.35">
      <c r="A32" s="1" t="str">
        <f>'Population Definitions'!$A$4</f>
        <v>an_hm</v>
      </c>
      <c r="B32" t="s">
        <v>32</v>
      </c>
      <c r="C32" t="s">
        <v>36</v>
      </c>
      <c r="D32" s="3"/>
      <c r="E32" s="36">
        <v>0</v>
      </c>
      <c r="F32" s="4" t="s">
        <v>34</v>
      </c>
      <c r="G32" s="3"/>
      <c r="H32" s="3"/>
      <c r="I32" s="3"/>
      <c r="J32" s="3"/>
      <c r="K32" s="3"/>
      <c r="L32" s="3"/>
    </row>
    <row r="34" spans="1:12" x14ac:dyDescent="0.35">
      <c r="A34" s="1" t="s">
        <v>58</v>
      </c>
      <c r="B34" s="1" t="s">
        <v>28</v>
      </c>
      <c r="C34" s="1" t="s">
        <v>29</v>
      </c>
      <c r="D34" s="1" t="s">
        <v>30</v>
      </c>
      <c r="E34" s="34" t="s">
        <v>31</v>
      </c>
      <c r="F34" s="1"/>
      <c r="G34" s="1">
        <v>2020</v>
      </c>
      <c r="H34" s="1">
        <v>2021</v>
      </c>
      <c r="I34" s="1">
        <v>2022</v>
      </c>
      <c r="J34" s="1">
        <v>2023</v>
      </c>
      <c r="K34" s="1">
        <v>2024</v>
      </c>
      <c r="L34" s="1">
        <v>2025</v>
      </c>
    </row>
    <row r="35" spans="1:12" x14ac:dyDescent="0.35">
      <c r="A35" s="1" t="str">
        <f>'Population Definitions'!$A$4</f>
        <v>an_hm</v>
      </c>
      <c r="B35" t="s">
        <v>32</v>
      </c>
      <c r="C35" t="s">
        <v>36</v>
      </c>
      <c r="D35" s="3"/>
      <c r="E35" s="36">
        <v>0.05</v>
      </c>
      <c r="F35" s="4" t="s">
        <v>34</v>
      </c>
      <c r="G35" s="3"/>
      <c r="H35" s="3"/>
      <c r="I35" s="3"/>
      <c r="J35" s="3"/>
      <c r="K35" s="3"/>
      <c r="L35" s="3"/>
    </row>
    <row r="37" spans="1:12" x14ac:dyDescent="0.35">
      <c r="A37" s="1" t="s">
        <v>59</v>
      </c>
      <c r="B37" s="1" t="s">
        <v>28</v>
      </c>
      <c r="C37" s="1" t="s">
        <v>29</v>
      </c>
      <c r="D37" s="1" t="s">
        <v>30</v>
      </c>
      <c r="E37" s="34" t="s">
        <v>31</v>
      </c>
      <c r="F37" s="1"/>
      <c r="G37" s="1">
        <v>2020</v>
      </c>
      <c r="H37" s="1">
        <v>2021</v>
      </c>
      <c r="I37" s="1">
        <v>2022</v>
      </c>
      <c r="J37" s="1">
        <v>2023</v>
      </c>
      <c r="K37" s="1">
        <v>2024</v>
      </c>
      <c r="L37" s="1">
        <v>2025</v>
      </c>
    </row>
    <row r="38" spans="1:12" x14ac:dyDescent="0.35">
      <c r="A38" s="1" t="str">
        <f>'Population Definitions'!$A$4</f>
        <v>an_hm</v>
      </c>
      <c r="B38" t="s">
        <v>32</v>
      </c>
      <c r="C38" t="s">
        <v>36</v>
      </c>
      <c r="D38" s="3"/>
      <c r="E38" s="36">
        <v>0.05</v>
      </c>
      <c r="F38" s="4" t="s">
        <v>34</v>
      </c>
      <c r="G38" s="3"/>
      <c r="H38" s="3"/>
      <c r="I38" s="3"/>
      <c r="J38" s="3"/>
      <c r="K38" s="3"/>
      <c r="L38" s="3"/>
    </row>
    <row r="40" spans="1:12" x14ac:dyDescent="0.35">
      <c r="A40" s="1" t="s">
        <v>60</v>
      </c>
      <c r="B40" s="1" t="s">
        <v>28</v>
      </c>
      <c r="C40" s="1" t="s">
        <v>29</v>
      </c>
      <c r="D40" s="1" t="s">
        <v>30</v>
      </c>
      <c r="E40" s="34" t="s">
        <v>31</v>
      </c>
      <c r="F40" s="1"/>
      <c r="G40" s="1">
        <v>2020</v>
      </c>
      <c r="H40" s="1">
        <v>2021</v>
      </c>
      <c r="I40" s="1">
        <v>2022</v>
      </c>
      <c r="J40" s="1">
        <v>2023</v>
      </c>
      <c r="K40" s="1">
        <v>2024</v>
      </c>
      <c r="L40" s="1">
        <v>2025</v>
      </c>
    </row>
    <row r="41" spans="1:12" x14ac:dyDescent="0.35">
      <c r="A41" s="1" t="str">
        <f>'Population Definitions'!$A$4</f>
        <v>an_hm</v>
      </c>
      <c r="B41" t="s">
        <v>32</v>
      </c>
      <c r="C41" t="s">
        <v>36</v>
      </c>
      <c r="D41" s="3"/>
      <c r="E41" s="36">
        <v>0.05</v>
      </c>
      <c r="F41" s="4" t="s">
        <v>34</v>
      </c>
      <c r="G41" s="3"/>
      <c r="H41" s="3"/>
      <c r="I41" s="3"/>
      <c r="J41" s="3"/>
      <c r="K41" s="3"/>
      <c r="L41" s="3"/>
    </row>
    <row r="43" spans="1:12" x14ac:dyDescent="0.35">
      <c r="A43" s="1" t="s">
        <v>61</v>
      </c>
      <c r="B43" s="1" t="s">
        <v>28</v>
      </c>
      <c r="C43" s="1" t="s">
        <v>29</v>
      </c>
      <c r="D43" s="1" t="s">
        <v>30</v>
      </c>
      <c r="E43" s="34" t="s">
        <v>31</v>
      </c>
      <c r="F43" s="1"/>
      <c r="G43" s="1">
        <v>2020</v>
      </c>
      <c r="H43" s="1">
        <v>2021</v>
      </c>
      <c r="I43" s="1">
        <v>2022</v>
      </c>
      <c r="J43" s="1">
        <v>2023</v>
      </c>
      <c r="K43" s="1">
        <v>2024</v>
      </c>
      <c r="L43" s="1">
        <v>2025</v>
      </c>
    </row>
    <row r="44" spans="1:12" x14ac:dyDescent="0.35">
      <c r="A44" s="1" t="str">
        <f>'Population Definitions'!$A$4</f>
        <v>an_hm</v>
      </c>
      <c r="B44" t="s">
        <v>32</v>
      </c>
      <c r="C44" t="s">
        <v>36</v>
      </c>
      <c r="D44" s="3"/>
      <c r="E44" s="36">
        <v>9.3743498935613595E-2</v>
      </c>
      <c r="F44" s="4" t="s">
        <v>34</v>
      </c>
      <c r="G44" s="15"/>
      <c r="H44" s="3"/>
      <c r="I44" s="3"/>
      <c r="J44" s="3"/>
      <c r="K44" s="3"/>
      <c r="L44" s="3"/>
    </row>
    <row r="46" spans="1:12" x14ac:dyDescent="0.35">
      <c r="A46" s="1" t="s">
        <v>62</v>
      </c>
      <c r="B46" s="1" t="s">
        <v>28</v>
      </c>
      <c r="C46" s="1" t="s">
        <v>29</v>
      </c>
      <c r="D46" s="1" t="s">
        <v>30</v>
      </c>
      <c r="E46" s="34" t="s">
        <v>31</v>
      </c>
      <c r="F46" s="1"/>
      <c r="G46" s="1">
        <v>2020</v>
      </c>
      <c r="H46" s="1">
        <v>2021</v>
      </c>
      <c r="I46" s="1">
        <v>2022</v>
      </c>
      <c r="J46" s="1">
        <v>2023</v>
      </c>
      <c r="K46" s="1">
        <v>2024</v>
      </c>
      <c r="L46" s="1">
        <v>2025</v>
      </c>
    </row>
    <row r="47" spans="1:12" x14ac:dyDescent="0.35">
      <c r="A47" s="1" t="str">
        <f>'Population Definitions'!$A$4</f>
        <v>an_hm</v>
      </c>
      <c r="B47" t="s">
        <v>32</v>
      </c>
      <c r="C47" t="s">
        <v>36</v>
      </c>
      <c r="D47" s="3"/>
      <c r="E47" s="36">
        <v>0</v>
      </c>
      <c r="F47" s="4" t="s">
        <v>34</v>
      </c>
      <c r="G47" s="3"/>
      <c r="H47" s="3"/>
      <c r="I47" s="3"/>
      <c r="J47" s="3"/>
      <c r="K47" s="3"/>
      <c r="L47" s="3"/>
    </row>
    <row r="49" spans="1:12" x14ac:dyDescent="0.35">
      <c r="A49" s="1" t="s">
        <v>63</v>
      </c>
      <c r="B49" s="1" t="s">
        <v>28</v>
      </c>
      <c r="C49" s="1" t="s">
        <v>29</v>
      </c>
      <c r="D49" s="1" t="s">
        <v>30</v>
      </c>
      <c r="E49" s="34" t="s">
        <v>31</v>
      </c>
      <c r="F49" s="1"/>
      <c r="G49" s="1">
        <v>2020</v>
      </c>
      <c r="H49" s="1">
        <v>2021</v>
      </c>
      <c r="I49" s="1">
        <v>2022</v>
      </c>
      <c r="J49" s="1">
        <v>2023</v>
      </c>
      <c r="K49" s="1">
        <v>2024</v>
      </c>
      <c r="L49" s="1">
        <v>2025</v>
      </c>
    </row>
    <row r="50" spans="1:12" x14ac:dyDescent="0.35">
      <c r="A50" s="1" t="str">
        <f>'Population Definitions'!$A$4</f>
        <v>an_hm</v>
      </c>
      <c r="B50" t="s">
        <v>32</v>
      </c>
      <c r="C50" t="s">
        <v>36</v>
      </c>
      <c r="D50" s="3"/>
      <c r="E50" s="36">
        <v>0</v>
      </c>
      <c r="F50" s="4" t="s">
        <v>34</v>
      </c>
      <c r="G50" s="3"/>
      <c r="H50" s="3"/>
      <c r="I50" s="3"/>
      <c r="J50" s="3"/>
      <c r="K50" s="3"/>
      <c r="L50" s="3"/>
    </row>
    <row r="52" spans="1:12" x14ac:dyDescent="0.35">
      <c r="A52" s="1" t="s">
        <v>210</v>
      </c>
      <c r="B52" s="1" t="s">
        <v>28</v>
      </c>
      <c r="C52" s="1" t="s">
        <v>29</v>
      </c>
      <c r="D52" s="1" t="s">
        <v>30</v>
      </c>
      <c r="E52" s="34" t="s">
        <v>31</v>
      </c>
      <c r="F52" s="1"/>
      <c r="G52" s="1">
        <v>2020</v>
      </c>
      <c r="H52" s="1">
        <v>2021</v>
      </c>
      <c r="I52" s="1">
        <v>2022</v>
      </c>
      <c r="J52" s="1">
        <v>2023</v>
      </c>
      <c r="K52" s="1">
        <v>2024</v>
      </c>
      <c r="L52" s="1">
        <v>2025</v>
      </c>
    </row>
    <row r="53" spans="1:12" x14ac:dyDescent="0.35">
      <c r="A53" s="1" t="str">
        <f>'Population Definitions'!$A$4</f>
        <v>an_hm</v>
      </c>
      <c r="B53" t="s">
        <v>32</v>
      </c>
      <c r="C53" t="s">
        <v>64</v>
      </c>
      <c r="D53" s="3"/>
      <c r="E53" s="40">
        <v>3.0000000000000001E-3</v>
      </c>
      <c r="F53" s="4" t="s">
        <v>34</v>
      </c>
      <c r="G53" s="3"/>
      <c r="H53" s="3"/>
      <c r="I53" s="3"/>
      <c r="J53" s="3"/>
      <c r="K53" s="3"/>
      <c r="L53" s="3"/>
    </row>
    <row r="55" spans="1:12" x14ac:dyDescent="0.35">
      <c r="A55" s="1" t="s">
        <v>211</v>
      </c>
      <c r="B55" s="1" t="s">
        <v>28</v>
      </c>
      <c r="C55" s="1" t="s">
        <v>29</v>
      </c>
      <c r="D55" s="1" t="s">
        <v>30</v>
      </c>
      <c r="E55" s="34" t="s">
        <v>31</v>
      </c>
      <c r="F55" s="1"/>
      <c r="G55" s="1">
        <v>2020</v>
      </c>
      <c r="H55" s="1">
        <v>2021</v>
      </c>
      <c r="I55" s="1">
        <v>2022</v>
      </c>
      <c r="J55" s="1">
        <v>2023</v>
      </c>
      <c r="K55" s="1">
        <v>2024</v>
      </c>
      <c r="L55" s="1">
        <v>2025</v>
      </c>
    </row>
    <row r="56" spans="1:12" x14ac:dyDescent="0.35">
      <c r="A56" s="1" t="str">
        <f>'Population Definitions'!$A$4</f>
        <v>an_hm</v>
      </c>
      <c r="B56" t="s">
        <v>32</v>
      </c>
      <c r="C56" t="s">
        <v>64</v>
      </c>
      <c r="D56" s="3"/>
      <c r="E56" s="40">
        <v>5.0999999999999997E-2</v>
      </c>
      <c r="F56" s="4" t="s">
        <v>34</v>
      </c>
      <c r="G56" s="3"/>
      <c r="H56" s="3"/>
      <c r="I56" s="3"/>
      <c r="J56" s="3"/>
      <c r="K56" s="3"/>
      <c r="L56" s="3"/>
    </row>
    <row r="58" spans="1:12" x14ac:dyDescent="0.35">
      <c r="A58" s="1" t="s">
        <v>212</v>
      </c>
      <c r="B58" s="1" t="s">
        <v>28</v>
      </c>
      <c r="C58" s="1" t="s">
        <v>29</v>
      </c>
      <c r="D58" s="1" t="s">
        <v>30</v>
      </c>
      <c r="E58" s="34" t="s">
        <v>31</v>
      </c>
      <c r="F58" s="1"/>
      <c r="G58" s="1">
        <v>2020</v>
      </c>
      <c r="H58" s="1">
        <v>2021</v>
      </c>
      <c r="I58" s="1">
        <v>2022</v>
      </c>
      <c r="J58" s="1">
        <v>2023</v>
      </c>
      <c r="K58" s="1">
        <v>2024</v>
      </c>
      <c r="L58" s="1">
        <v>2025</v>
      </c>
    </row>
    <row r="59" spans="1:12" x14ac:dyDescent="0.35">
      <c r="A59" s="1" t="str">
        <f>'Population Definitions'!$A$4</f>
        <v>an_hm</v>
      </c>
      <c r="B59" t="s">
        <v>32</v>
      </c>
      <c r="C59" t="s">
        <v>64</v>
      </c>
      <c r="D59" s="3"/>
      <c r="E59" s="40">
        <v>0.14699999999999999</v>
      </c>
      <c r="F59" s="4" t="s">
        <v>34</v>
      </c>
      <c r="G59" s="3"/>
      <c r="H59" s="3"/>
      <c r="I59" s="3"/>
      <c r="J59" s="3"/>
      <c r="K59" s="3"/>
      <c r="L59" s="3"/>
    </row>
  </sheetData>
  <conditionalFormatting sqref="E2">
    <cfRule type="expression" dxfId="729" priority="45">
      <formula>COUNTIF(G2:L2,"&lt;&gt;" &amp; "")&gt;0</formula>
    </cfRule>
    <cfRule type="expression" dxfId="728" priority="46">
      <formula>AND(COUNTIF(G2:L2,"&lt;&gt;" &amp; "")&gt;0,NOT(ISBLANK(E2)))</formula>
    </cfRule>
  </conditionalFormatting>
  <conditionalFormatting sqref="E5">
    <cfRule type="expression" dxfId="727" priority="7">
      <formula>COUNTIF(G5:L5,"&lt;&gt;" &amp; "")&gt;0</formula>
    </cfRule>
    <cfRule type="expression" dxfId="726" priority="8">
      <formula>AND(COUNTIF(G5:L5,"&lt;&gt;" &amp; "")&gt;0,NOT(ISBLANK(E5)))</formula>
    </cfRule>
  </conditionalFormatting>
  <conditionalFormatting sqref="E8">
    <cfRule type="expression" dxfId="725" priority="5">
      <formula>COUNTIF(G8:L8,"&lt;&gt;" &amp; "")&gt;0</formula>
    </cfRule>
    <cfRule type="expression" dxfId="724" priority="6">
      <formula>AND(COUNTIF(G8:L8,"&lt;&gt;" &amp; "")&gt;0,NOT(ISBLANK(E8)))</formula>
    </cfRule>
  </conditionalFormatting>
  <conditionalFormatting sqref="E11">
    <cfRule type="expression" dxfId="723" priority="57">
      <formula>COUNTIF(G11:L11,"&lt;&gt;" &amp; "")&gt;0</formula>
    </cfRule>
    <cfRule type="expression" dxfId="722" priority="58">
      <formula>AND(COUNTIF(G11:L11,"&lt;&gt;" &amp; "")&gt;0,NOT(ISBLANK(E11)))</formula>
    </cfRule>
  </conditionalFormatting>
  <conditionalFormatting sqref="E14">
    <cfRule type="expression" dxfId="721" priority="9">
      <formula>COUNTIF(G14:L14,"&lt;&gt;" &amp; "")&gt;0</formula>
    </cfRule>
    <cfRule type="expression" dxfId="720" priority="10">
      <formula>AND(COUNTIF(G14:L14,"&lt;&gt;" &amp; "")&gt;0,NOT(ISBLANK(E14)))</formula>
    </cfRule>
  </conditionalFormatting>
  <conditionalFormatting sqref="E17">
    <cfRule type="expression" dxfId="719" priority="1">
      <formula>COUNTIF(G17:L17,"&lt;&gt;" &amp; "")&gt;0</formula>
    </cfRule>
    <cfRule type="expression" dxfId="718" priority="2">
      <formula>AND(COUNTIF(G17:L17,"&lt;&gt;" &amp; "")&gt;0,NOT(ISBLANK(E17)))</formula>
    </cfRule>
  </conditionalFormatting>
  <conditionalFormatting sqref="E20">
    <cfRule type="expression" dxfId="717" priority="3">
      <formula>COUNTIF(G20:L20,"&lt;&gt;" &amp; "")&gt;0</formula>
    </cfRule>
    <cfRule type="expression" dxfId="716" priority="4">
      <formula>AND(COUNTIF(G20:L20,"&lt;&gt;" &amp; "")&gt;0,NOT(ISBLANK(E20)))</formula>
    </cfRule>
  </conditionalFormatting>
  <conditionalFormatting sqref="E23">
    <cfRule type="expression" dxfId="715" priority="65">
      <formula>COUNTIF(G23:L23,"&lt;&gt;" &amp; "")&gt;0</formula>
    </cfRule>
    <cfRule type="expression" dxfId="714" priority="66">
      <formula>AND(COUNTIF(G23:L23,"&lt;&gt;" &amp; "")&gt;0,NOT(ISBLANK(E23)))</formula>
    </cfRule>
  </conditionalFormatting>
  <conditionalFormatting sqref="E26">
    <cfRule type="expression" dxfId="713" priority="19">
      <formula>COUNTIF(G26:L26,"&lt;&gt;" &amp; "")&gt;0</formula>
    </cfRule>
    <cfRule type="expression" dxfId="712" priority="20">
      <formula>AND(COUNTIF(G26:L26,"&lt;&gt;" &amp; "")&gt;0,NOT(ISBLANK(E26)))</formula>
    </cfRule>
  </conditionalFormatting>
  <conditionalFormatting sqref="E29">
    <cfRule type="expression" dxfId="711" priority="17">
      <formula>COUNTIF(G29:L29,"&lt;&gt;" &amp; "")&gt;0</formula>
    </cfRule>
    <cfRule type="expression" dxfId="710" priority="18">
      <formula>AND(COUNTIF(G29:L29,"&lt;&gt;" &amp; "")&gt;0,NOT(ISBLANK(E29)))</formula>
    </cfRule>
  </conditionalFormatting>
  <conditionalFormatting sqref="E32">
    <cfRule type="expression" dxfId="709" priority="15">
      <formula>COUNTIF(G32:L32,"&lt;&gt;" &amp; "")&gt;0</formula>
    </cfRule>
    <cfRule type="expression" dxfId="708" priority="16">
      <formula>AND(COUNTIF(G32:L32,"&lt;&gt;" &amp; "")&gt;0,NOT(ISBLANK(E32)))</formula>
    </cfRule>
  </conditionalFormatting>
  <conditionalFormatting sqref="E35">
    <cfRule type="expression" dxfId="707" priority="37">
      <formula>COUNTIF(G35:L35,"&lt;&gt;" &amp; "")&gt;0</formula>
    </cfRule>
    <cfRule type="expression" dxfId="706" priority="38">
      <formula>AND(COUNTIF(G35:L35,"&lt;&gt;" &amp; "")&gt;0,NOT(ISBLANK(E35)))</formula>
    </cfRule>
  </conditionalFormatting>
  <conditionalFormatting sqref="E38">
    <cfRule type="expression" dxfId="705" priority="35">
      <formula>COUNTIF(G38:L38,"&lt;&gt;" &amp; "")&gt;0</formula>
    </cfRule>
    <cfRule type="expression" dxfId="704" priority="36">
      <formula>AND(COUNTIF(G38:L38,"&lt;&gt;" &amp; "")&gt;0,NOT(ISBLANK(E38)))</formula>
    </cfRule>
  </conditionalFormatting>
  <conditionalFormatting sqref="E41">
    <cfRule type="expression" dxfId="703" priority="33">
      <formula>COUNTIF(G41:L41,"&lt;&gt;" &amp; "")&gt;0</formula>
    </cfRule>
    <cfRule type="expression" dxfId="702" priority="34">
      <formula>AND(COUNTIF(G41:L41,"&lt;&gt;" &amp; "")&gt;0,NOT(ISBLANK(E41)))</formula>
    </cfRule>
  </conditionalFormatting>
  <conditionalFormatting sqref="E44">
    <cfRule type="expression" dxfId="701" priority="79">
      <formula>COUNTIF(G44:L44,"&lt;&gt;" &amp; "")&gt;0</formula>
    </cfRule>
    <cfRule type="expression" dxfId="700" priority="80">
      <formula>AND(COUNTIF(G44:L44,"&lt;&gt;" &amp; "")&gt;0,NOT(ISBLANK(E44)))</formula>
    </cfRule>
  </conditionalFormatting>
  <conditionalFormatting sqref="E47">
    <cfRule type="expression" dxfId="699" priority="81">
      <formula>COUNTIF(G47:L47,"&lt;&gt;" &amp; "")&gt;0</formula>
    </cfRule>
    <cfRule type="expression" dxfId="698" priority="82">
      <formula>AND(COUNTIF(G47:L47,"&lt;&gt;" &amp; "")&gt;0,NOT(ISBLANK(E47)))</formula>
    </cfRule>
  </conditionalFormatting>
  <conditionalFormatting sqref="E50">
    <cfRule type="expression" dxfId="697" priority="83">
      <formula>COUNTIF(G50:L50,"&lt;&gt;" &amp; "")&gt;0</formula>
    </cfRule>
    <cfRule type="expression" dxfId="696" priority="84">
      <formula>AND(COUNTIF(G50:L50,"&lt;&gt;" &amp; "")&gt;0,NOT(ISBLANK(E50)))</formula>
    </cfRule>
  </conditionalFormatting>
  <dataValidations count="2">
    <dataValidation type="list" allowBlank="1" showInputMessage="1" showErrorMessage="1" sqref="C50 C47 C44 C41 C38 C35 C32 C29 C26 C23 C20 C17 C14 C11 C2 C5 C8" xr:uid="{00000000-0002-0000-0300-000000000000}">
      <formula1>"Proportion"</formula1>
    </dataValidation>
    <dataValidation type="list" allowBlank="1" showInputMessage="1" showErrorMessage="1" sqref="C53 C59 C56" xr:uid="{00000000-0002-0000-0300-000015000000}">
      <formula1>"Number"</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AA41"/>
  <sheetViews>
    <sheetView topLeftCell="A22" workbookViewId="0">
      <selection activeCell="G22" sqref="G1:L1048576"/>
    </sheetView>
  </sheetViews>
  <sheetFormatPr defaultRowHeight="14.5" x14ac:dyDescent="0.35"/>
  <cols>
    <col min="1" max="1" width="91.7265625" customWidth="1"/>
    <col min="2" max="2" width="30.26953125" customWidth="1"/>
    <col min="3" max="3" width="12.7265625" customWidth="1"/>
    <col min="4" max="4" width="13.81640625" customWidth="1"/>
    <col min="5" max="5" width="10.54296875" customWidth="1"/>
    <col min="6" max="6" width="3.81640625" customWidth="1"/>
    <col min="7" max="12" width="9.453125" style="35" customWidth="1"/>
  </cols>
  <sheetData>
    <row r="1" spans="1:12" x14ac:dyDescent="0.35">
      <c r="A1" s="1" t="s">
        <v>65</v>
      </c>
      <c r="B1" s="1" t="s">
        <v>28</v>
      </c>
      <c r="C1" s="1" t="s">
        <v>29</v>
      </c>
      <c r="D1" s="1" t="s">
        <v>30</v>
      </c>
      <c r="E1" s="1" t="s">
        <v>31</v>
      </c>
      <c r="F1" s="1"/>
      <c r="G1" s="34">
        <v>2020</v>
      </c>
      <c r="H1" s="34">
        <v>2021</v>
      </c>
      <c r="I1" s="34">
        <v>2022</v>
      </c>
      <c r="J1" s="34">
        <v>2023</v>
      </c>
      <c r="K1" s="34">
        <v>2024</v>
      </c>
      <c r="L1" s="34">
        <v>2025</v>
      </c>
    </row>
    <row r="2" spans="1:12" x14ac:dyDescent="0.35">
      <c r="A2" s="1" t="str">
        <f>'Population Definitions'!$A$5</f>
        <v>hm_hm</v>
      </c>
      <c r="B2" t="s">
        <v>32</v>
      </c>
      <c r="C2" t="s">
        <v>36</v>
      </c>
      <c r="D2" s="3"/>
      <c r="E2" s="3">
        <v>0</v>
      </c>
      <c r="F2" s="4" t="s">
        <v>34</v>
      </c>
      <c r="G2" s="36"/>
      <c r="H2" s="36"/>
      <c r="I2" s="36"/>
      <c r="J2" s="36"/>
      <c r="K2" s="36"/>
      <c r="L2" s="36"/>
    </row>
    <row r="4" spans="1:12" x14ac:dyDescent="0.35">
      <c r="A4" s="1" t="s">
        <v>213</v>
      </c>
      <c r="B4" s="1" t="s">
        <v>28</v>
      </c>
      <c r="C4" s="1" t="s">
        <v>29</v>
      </c>
      <c r="D4" s="1" t="s">
        <v>30</v>
      </c>
      <c r="E4" s="1" t="s">
        <v>31</v>
      </c>
      <c r="F4" s="1"/>
      <c r="G4" s="34">
        <v>2020</v>
      </c>
      <c r="H4" s="34">
        <v>2021</v>
      </c>
      <c r="I4" s="34">
        <v>2022</v>
      </c>
      <c r="J4" s="34">
        <v>2023</v>
      </c>
      <c r="K4" s="34">
        <v>2024</v>
      </c>
      <c r="L4" s="34">
        <v>2025</v>
      </c>
    </row>
    <row r="5" spans="1:12" x14ac:dyDescent="0.35">
      <c r="A5" s="1" t="str">
        <f>'Population Definitions'!$A$5</f>
        <v>hm_hm</v>
      </c>
      <c r="B5" t="s">
        <v>32</v>
      </c>
      <c r="C5" t="s">
        <v>36</v>
      </c>
      <c r="D5" s="3"/>
      <c r="E5" s="3">
        <v>1.49</v>
      </c>
      <c r="F5" s="4" t="s">
        <v>34</v>
      </c>
      <c r="G5" s="36"/>
      <c r="H5" s="36"/>
      <c r="I5" s="36"/>
      <c r="J5" s="36"/>
      <c r="K5" s="36"/>
      <c r="L5" s="36"/>
    </row>
    <row r="7" spans="1:12" x14ac:dyDescent="0.35">
      <c r="A7" s="1" t="s">
        <v>66</v>
      </c>
      <c r="B7" s="1" t="s">
        <v>28</v>
      </c>
      <c r="C7" s="1" t="s">
        <v>29</v>
      </c>
      <c r="D7" s="1" t="s">
        <v>30</v>
      </c>
      <c r="E7" s="1" t="s">
        <v>31</v>
      </c>
      <c r="F7" s="1"/>
      <c r="G7" s="34">
        <v>2020</v>
      </c>
      <c r="H7" s="34">
        <v>2021</v>
      </c>
      <c r="I7" s="34">
        <v>2022</v>
      </c>
      <c r="J7" s="34">
        <v>2023</v>
      </c>
      <c r="K7" s="34">
        <v>2024</v>
      </c>
      <c r="L7" s="34">
        <v>2025</v>
      </c>
    </row>
    <row r="8" spans="1:12" x14ac:dyDescent="0.35">
      <c r="A8" s="1" t="str">
        <f>'Population Definitions'!$A$5</f>
        <v>hm_hm</v>
      </c>
      <c r="B8" t="s">
        <v>32</v>
      </c>
      <c r="C8" t="s">
        <v>36</v>
      </c>
      <c r="D8" s="3"/>
      <c r="E8" s="3">
        <v>2.98</v>
      </c>
      <c r="F8" s="4" t="s">
        <v>34</v>
      </c>
      <c r="G8" s="36"/>
      <c r="H8" s="36"/>
      <c r="I8" s="36"/>
      <c r="J8" s="36"/>
      <c r="K8" s="36"/>
      <c r="L8" s="36"/>
    </row>
    <row r="10" spans="1:12" x14ac:dyDescent="0.35">
      <c r="A10" s="1" t="s">
        <v>67</v>
      </c>
      <c r="B10" s="1" t="s">
        <v>28</v>
      </c>
      <c r="C10" s="1" t="s">
        <v>29</v>
      </c>
      <c r="D10" s="1" t="s">
        <v>30</v>
      </c>
      <c r="E10" s="1" t="s">
        <v>31</v>
      </c>
      <c r="F10" s="1"/>
      <c r="G10" s="34">
        <v>2020</v>
      </c>
      <c r="H10" s="34">
        <v>2021</v>
      </c>
      <c r="I10" s="34">
        <v>2022</v>
      </c>
      <c r="J10" s="34">
        <v>2023</v>
      </c>
      <c r="K10" s="34">
        <v>2024</v>
      </c>
      <c r="L10" s="34">
        <v>2025</v>
      </c>
    </row>
    <row r="11" spans="1:12" x14ac:dyDescent="0.35">
      <c r="A11" s="1" t="str">
        <f>'Population Definitions'!$A$5</f>
        <v>hm_hm</v>
      </c>
      <c r="B11" t="s">
        <v>32</v>
      </c>
      <c r="C11" t="s">
        <v>36</v>
      </c>
      <c r="D11" s="3"/>
      <c r="E11" s="3">
        <v>2.44</v>
      </c>
      <c r="F11" s="4" t="s">
        <v>34</v>
      </c>
      <c r="G11" s="36"/>
      <c r="H11" s="36"/>
      <c r="I11" s="36"/>
      <c r="J11" s="36"/>
      <c r="K11" s="36"/>
      <c r="L11" s="36"/>
    </row>
    <row r="13" spans="1:12" x14ac:dyDescent="0.35">
      <c r="A13" s="1" t="s">
        <v>68</v>
      </c>
      <c r="B13" s="1" t="s">
        <v>28</v>
      </c>
      <c r="C13" s="1" t="s">
        <v>29</v>
      </c>
      <c r="D13" s="1" t="s">
        <v>30</v>
      </c>
      <c r="E13" s="1" t="s">
        <v>31</v>
      </c>
      <c r="F13" s="1"/>
      <c r="G13" s="34">
        <v>2020</v>
      </c>
      <c r="H13" s="34">
        <v>2021</v>
      </c>
      <c r="I13" s="34">
        <v>2022</v>
      </c>
      <c r="J13" s="34">
        <v>2023</v>
      </c>
      <c r="K13" s="34">
        <v>2024</v>
      </c>
      <c r="L13" s="34">
        <v>2025</v>
      </c>
    </row>
    <row r="14" spans="1:12" x14ac:dyDescent="0.35">
      <c r="A14" s="1" t="str">
        <f>'Population Definitions'!$A$5</f>
        <v>hm_hm</v>
      </c>
      <c r="B14" t="s">
        <v>32</v>
      </c>
      <c r="C14" t="s">
        <v>36</v>
      </c>
      <c r="D14" s="3"/>
      <c r="E14" s="15">
        <v>4.2000000000000003E-2</v>
      </c>
      <c r="F14" s="4" t="s">
        <v>34</v>
      </c>
      <c r="G14" s="39"/>
      <c r="H14" s="36"/>
      <c r="I14" s="36"/>
      <c r="J14" s="36"/>
      <c r="K14" s="36"/>
      <c r="L14" s="36"/>
    </row>
    <row r="16" spans="1:12" x14ac:dyDescent="0.35">
      <c r="A16" s="1" t="s">
        <v>69</v>
      </c>
      <c r="B16" s="1" t="s">
        <v>28</v>
      </c>
      <c r="C16" s="1" t="s">
        <v>29</v>
      </c>
      <c r="D16" s="1" t="s">
        <v>30</v>
      </c>
      <c r="E16" s="1" t="s">
        <v>31</v>
      </c>
      <c r="F16" s="1"/>
      <c r="G16" s="34">
        <v>2020</v>
      </c>
      <c r="H16" s="34">
        <v>2021</v>
      </c>
      <c r="I16" s="34">
        <v>2022</v>
      </c>
      <c r="J16" s="34">
        <v>2023</v>
      </c>
      <c r="K16" s="34">
        <v>2024</v>
      </c>
      <c r="L16" s="34">
        <v>2025</v>
      </c>
    </row>
    <row r="17" spans="1:27" x14ac:dyDescent="0.35">
      <c r="A17" s="1" t="str">
        <f>'Population Definitions'!$A$5</f>
        <v>hm_hm</v>
      </c>
      <c r="B17" t="s">
        <v>32</v>
      </c>
      <c r="C17" t="s">
        <v>36</v>
      </c>
      <c r="D17" s="3"/>
      <c r="E17" s="3">
        <v>0.56999999999999995</v>
      </c>
      <c r="F17" s="4" t="s">
        <v>34</v>
      </c>
      <c r="G17" s="36"/>
      <c r="H17" s="36"/>
      <c r="I17" s="36"/>
      <c r="J17" s="36"/>
      <c r="K17" s="36"/>
      <c r="L17" s="36"/>
    </row>
    <row r="19" spans="1:27" x14ac:dyDescent="0.35">
      <c r="A19" s="1" t="s">
        <v>70</v>
      </c>
      <c r="B19" s="1" t="s">
        <v>28</v>
      </c>
      <c r="C19" s="1" t="s">
        <v>29</v>
      </c>
      <c r="D19" s="1" t="s">
        <v>30</v>
      </c>
      <c r="E19" s="1" t="s">
        <v>31</v>
      </c>
      <c r="F19" s="1"/>
      <c r="G19" s="34">
        <v>2020</v>
      </c>
      <c r="H19" s="34">
        <v>2021</v>
      </c>
      <c r="I19" s="34">
        <v>2022</v>
      </c>
      <c r="J19" s="34">
        <v>2023</v>
      </c>
      <c r="K19" s="34">
        <v>2024</v>
      </c>
      <c r="L19" s="34">
        <v>2025</v>
      </c>
    </row>
    <row r="20" spans="1:27" x14ac:dyDescent="0.35">
      <c r="A20" s="1" t="str">
        <f>'Population Definitions'!$A$5</f>
        <v>hm_hm</v>
      </c>
      <c r="B20" t="s">
        <v>32</v>
      </c>
      <c r="C20" t="s">
        <v>36</v>
      </c>
      <c r="D20" s="3"/>
      <c r="E20" s="3">
        <v>0.41</v>
      </c>
      <c r="F20" s="4" t="s">
        <v>34</v>
      </c>
      <c r="G20" s="36"/>
      <c r="H20" s="36"/>
      <c r="I20" s="36"/>
      <c r="J20" s="36"/>
      <c r="K20" s="36"/>
      <c r="L20" s="36"/>
    </row>
    <row r="22" spans="1:27" x14ac:dyDescent="0.35">
      <c r="A22" s="1" t="s">
        <v>71</v>
      </c>
      <c r="B22" s="1" t="s">
        <v>28</v>
      </c>
      <c r="C22" s="1" t="s">
        <v>29</v>
      </c>
      <c r="D22" s="1" t="s">
        <v>30</v>
      </c>
      <c r="E22" s="1" t="s">
        <v>31</v>
      </c>
      <c r="F22" s="1"/>
      <c r="G22" s="34">
        <v>2020</v>
      </c>
      <c r="H22" s="34">
        <v>2021</v>
      </c>
      <c r="I22" s="34">
        <v>2022</v>
      </c>
      <c r="J22" s="34">
        <v>2023</v>
      </c>
      <c r="K22" s="34">
        <v>2024</v>
      </c>
      <c r="L22" s="34">
        <v>2025</v>
      </c>
      <c r="M22" s="1">
        <v>2026</v>
      </c>
      <c r="N22" s="1">
        <v>2027</v>
      </c>
      <c r="O22" s="1">
        <v>2028</v>
      </c>
      <c r="P22" s="1">
        <v>2029</v>
      </c>
      <c r="Q22" s="1">
        <v>2030</v>
      </c>
      <c r="R22" s="1">
        <v>2031</v>
      </c>
      <c r="S22" s="1">
        <v>2032</v>
      </c>
      <c r="T22" s="1">
        <v>2033</v>
      </c>
      <c r="U22" s="1">
        <v>2034</v>
      </c>
      <c r="V22" s="1">
        <v>2035</v>
      </c>
      <c r="W22" s="1">
        <v>2036</v>
      </c>
      <c r="X22" s="1">
        <v>2037</v>
      </c>
      <c r="Y22" s="1">
        <v>2038</v>
      </c>
      <c r="Z22" s="1">
        <v>2039</v>
      </c>
      <c r="AA22" s="1">
        <v>2040</v>
      </c>
    </row>
    <row r="23" spans="1:27" x14ac:dyDescent="0.35">
      <c r="A23" s="1" t="str">
        <f>'Population Definitions'!$A$5</f>
        <v>hm_hm</v>
      </c>
      <c r="B23" t="s">
        <v>32</v>
      </c>
      <c r="C23" t="s">
        <v>36</v>
      </c>
      <c r="D23" s="3"/>
      <c r="E23" s="3">
        <v>0.5</v>
      </c>
      <c r="F23" s="4" t="s">
        <v>34</v>
      </c>
      <c r="G23" s="36"/>
      <c r="H23" s="36"/>
      <c r="I23" s="36"/>
      <c r="J23" s="36"/>
      <c r="K23" s="36"/>
      <c r="L23" s="36"/>
      <c r="M23" s="3"/>
      <c r="N23" s="3"/>
      <c r="O23" s="3"/>
      <c r="P23" s="3"/>
      <c r="Q23" s="3"/>
      <c r="R23" s="3"/>
      <c r="S23" s="3"/>
      <c r="T23" s="3"/>
      <c r="U23" s="3"/>
      <c r="V23" s="3"/>
      <c r="W23" s="3"/>
      <c r="X23" s="3"/>
      <c r="Y23" s="3"/>
      <c r="Z23" s="3"/>
      <c r="AA23" s="3"/>
    </row>
    <row r="25" spans="1:27" x14ac:dyDescent="0.35">
      <c r="A25" s="1" t="s">
        <v>72</v>
      </c>
      <c r="B25" s="1" t="s">
        <v>28</v>
      </c>
      <c r="C25" s="1" t="s">
        <v>29</v>
      </c>
      <c r="D25" s="1" t="s">
        <v>30</v>
      </c>
      <c r="E25" s="1" t="s">
        <v>31</v>
      </c>
      <c r="F25" s="1"/>
      <c r="G25" s="34">
        <v>2020</v>
      </c>
      <c r="H25" s="34">
        <v>2021</v>
      </c>
      <c r="I25" s="34">
        <v>2022</v>
      </c>
      <c r="J25" s="34">
        <v>2023</v>
      </c>
      <c r="K25" s="34">
        <v>2024</v>
      </c>
      <c r="L25" s="34">
        <v>2025</v>
      </c>
    </row>
    <row r="26" spans="1:27" x14ac:dyDescent="0.35">
      <c r="A26" s="1" t="str">
        <f>'Population Definitions'!$A$5</f>
        <v>hm_hm</v>
      </c>
      <c r="B26" t="s">
        <v>32</v>
      </c>
      <c r="C26" t="s">
        <v>36</v>
      </c>
      <c r="D26" s="3"/>
      <c r="E26" s="22">
        <v>5.0000000000000001E-4</v>
      </c>
      <c r="F26" s="4" t="s">
        <v>34</v>
      </c>
      <c r="G26" s="39"/>
      <c r="H26" s="36"/>
      <c r="I26" s="36"/>
      <c r="J26" s="36"/>
      <c r="K26" s="36"/>
      <c r="L26" s="36"/>
    </row>
    <row r="28" spans="1:27" x14ac:dyDescent="0.35">
      <c r="A28" s="1" t="s">
        <v>73</v>
      </c>
      <c r="B28" s="1" t="s">
        <v>28</v>
      </c>
      <c r="C28" s="1" t="s">
        <v>29</v>
      </c>
      <c r="D28" s="1" t="s">
        <v>30</v>
      </c>
      <c r="E28" s="1" t="s">
        <v>31</v>
      </c>
      <c r="F28" s="1"/>
      <c r="G28" s="34">
        <v>2020</v>
      </c>
      <c r="H28" s="34">
        <v>2021</v>
      </c>
      <c r="I28" s="34">
        <v>2022</v>
      </c>
      <c r="J28" s="34">
        <v>2023</v>
      </c>
      <c r="K28" s="34">
        <v>2024</v>
      </c>
      <c r="L28" s="34">
        <v>2025</v>
      </c>
    </row>
    <row r="29" spans="1:27" x14ac:dyDescent="0.35">
      <c r="A29" s="1" t="str">
        <f>'Population Definitions'!$A$5</f>
        <v>hm_hm</v>
      </c>
      <c r="B29" t="s">
        <v>32</v>
      </c>
      <c r="C29" t="s">
        <v>36</v>
      </c>
      <c r="D29" s="3"/>
      <c r="E29" s="6">
        <v>2.3E-3</v>
      </c>
      <c r="F29" s="4" t="s">
        <v>34</v>
      </c>
      <c r="G29" s="39"/>
      <c r="H29" s="36"/>
      <c r="I29" s="36"/>
      <c r="J29" s="36"/>
      <c r="K29" s="36"/>
      <c r="L29" s="36"/>
    </row>
    <row r="31" spans="1:27" x14ac:dyDescent="0.35">
      <c r="A31" s="1" t="s">
        <v>214</v>
      </c>
      <c r="B31" s="1" t="s">
        <v>28</v>
      </c>
      <c r="C31" s="1" t="s">
        <v>29</v>
      </c>
      <c r="D31" s="1" t="s">
        <v>30</v>
      </c>
      <c r="E31" s="1" t="s">
        <v>31</v>
      </c>
      <c r="F31" s="1"/>
      <c r="G31" s="34">
        <v>2020</v>
      </c>
      <c r="H31" s="34">
        <v>2021</v>
      </c>
      <c r="I31" s="34">
        <v>2022</v>
      </c>
      <c r="J31" s="34">
        <v>2023</v>
      </c>
      <c r="K31" s="34">
        <v>2024</v>
      </c>
      <c r="L31" s="34">
        <v>2025</v>
      </c>
    </row>
    <row r="32" spans="1:27" x14ac:dyDescent="0.35">
      <c r="A32" s="1" t="str">
        <f>'Population Definitions'!$A$5</f>
        <v>hm_hm</v>
      </c>
      <c r="B32" t="s">
        <v>32</v>
      </c>
      <c r="C32" t="s">
        <v>36</v>
      </c>
      <c r="D32" s="3"/>
      <c r="E32" s="7">
        <v>0.02</v>
      </c>
      <c r="F32" s="4" t="s">
        <v>34</v>
      </c>
      <c r="G32" s="36"/>
      <c r="H32" s="36"/>
      <c r="I32" s="36"/>
      <c r="J32" s="36"/>
      <c r="K32" s="36"/>
      <c r="L32" s="36"/>
    </row>
    <row r="34" spans="1:12" x14ac:dyDescent="0.35">
      <c r="A34" s="1" t="s">
        <v>215</v>
      </c>
      <c r="B34" s="1" t="s">
        <v>28</v>
      </c>
      <c r="C34" s="1" t="s">
        <v>29</v>
      </c>
      <c r="D34" s="1" t="s">
        <v>30</v>
      </c>
      <c r="E34" s="1" t="s">
        <v>31</v>
      </c>
      <c r="F34" s="1"/>
      <c r="G34" s="34">
        <v>2020</v>
      </c>
      <c r="H34" s="34">
        <v>2021</v>
      </c>
      <c r="I34" s="34">
        <v>2022</v>
      </c>
      <c r="J34" s="34">
        <v>2023</v>
      </c>
      <c r="K34" s="34">
        <v>2024</v>
      </c>
      <c r="L34" s="34">
        <v>2025</v>
      </c>
    </row>
    <row r="35" spans="1:12" x14ac:dyDescent="0.35">
      <c r="A35" s="1" t="str">
        <f>'Population Definitions'!$A$5</f>
        <v>hm_hm</v>
      </c>
      <c r="B35" t="s">
        <v>32</v>
      </c>
      <c r="C35" t="s">
        <v>36</v>
      </c>
      <c r="D35" s="3"/>
      <c r="E35" s="7">
        <v>0.113</v>
      </c>
      <c r="F35" s="4" t="s">
        <v>34</v>
      </c>
      <c r="G35" s="36"/>
      <c r="H35" s="36"/>
      <c r="I35" s="36"/>
      <c r="J35" s="36"/>
      <c r="K35" s="36"/>
      <c r="L35" s="36"/>
    </row>
    <row r="37" spans="1:12" x14ac:dyDescent="0.35">
      <c r="A37" s="1" t="s">
        <v>194</v>
      </c>
      <c r="B37" s="1" t="s">
        <v>28</v>
      </c>
      <c r="C37" s="1" t="s">
        <v>29</v>
      </c>
      <c r="D37" s="1" t="s">
        <v>30</v>
      </c>
      <c r="E37" s="1" t="s">
        <v>31</v>
      </c>
      <c r="F37" s="1"/>
      <c r="G37" s="34">
        <v>2020</v>
      </c>
      <c r="H37" s="34">
        <v>2021</v>
      </c>
      <c r="I37" s="34">
        <v>2022</v>
      </c>
      <c r="J37" s="34">
        <v>2023</v>
      </c>
      <c r="K37" s="34">
        <v>2024</v>
      </c>
      <c r="L37" s="34">
        <v>2025</v>
      </c>
    </row>
    <row r="38" spans="1:12" x14ac:dyDescent="0.35">
      <c r="A38" s="1" t="str">
        <f>'[2]Population Definitions'!$A$5</f>
        <v>hm_hm</v>
      </c>
      <c r="C38" t="s">
        <v>64</v>
      </c>
      <c r="D38" s="3"/>
      <c r="E38" s="12">
        <v>4869693.1720000003</v>
      </c>
      <c r="F38" s="4" t="s">
        <v>34</v>
      </c>
      <c r="G38" s="41"/>
      <c r="H38" s="41"/>
      <c r="I38" s="41"/>
      <c r="J38" s="41"/>
      <c r="K38" s="41"/>
      <c r="L38" s="41"/>
    </row>
    <row r="40" spans="1:12" x14ac:dyDescent="0.35">
      <c r="A40" s="1" t="s">
        <v>195</v>
      </c>
      <c r="B40" s="1" t="s">
        <v>28</v>
      </c>
      <c r="C40" s="1" t="s">
        <v>29</v>
      </c>
      <c r="D40" s="1" t="s">
        <v>30</v>
      </c>
      <c r="E40" s="1" t="s">
        <v>31</v>
      </c>
      <c r="F40" s="1"/>
      <c r="G40" s="34">
        <v>2020</v>
      </c>
      <c r="H40" s="34">
        <v>2021</v>
      </c>
      <c r="I40" s="34">
        <v>2022</v>
      </c>
      <c r="J40" s="34">
        <v>2023</v>
      </c>
      <c r="K40" s="34">
        <v>2024</v>
      </c>
      <c r="L40" s="34">
        <v>2025</v>
      </c>
    </row>
    <row r="41" spans="1:12" x14ac:dyDescent="0.35">
      <c r="A41" s="1" t="str">
        <f>'[2]Population Definitions'!$A$5</f>
        <v>hm_hm</v>
      </c>
      <c r="C41" t="s">
        <v>64</v>
      </c>
      <c r="D41" s="3"/>
      <c r="E41">
        <v>7787.6049860000003</v>
      </c>
      <c r="F41" s="4" t="s">
        <v>34</v>
      </c>
      <c r="G41" s="41"/>
      <c r="H41" s="41"/>
      <c r="I41" s="41"/>
      <c r="J41" s="41"/>
      <c r="K41" s="41"/>
      <c r="L41" s="41"/>
    </row>
  </sheetData>
  <conditionalFormatting sqref="E2">
    <cfRule type="expression" dxfId="695" priority="11">
      <formula>COUNTIF(G2:L2,"&lt;&gt;" &amp; "")&gt;0</formula>
    </cfRule>
    <cfRule type="expression" dxfId="694" priority="12">
      <formula>AND(COUNTIF(G2:L2,"&lt;&gt;" &amp; "")&gt;0,NOT(ISBLANK(E2)))</formula>
    </cfRule>
  </conditionalFormatting>
  <conditionalFormatting sqref="E5">
    <cfRule type="expression" dxfId="693" priority="15">
      <formula>COUNTIF(G5:L5,"&lt;&gt;" &amp; "")&gt;0</formula>
    </cfRule>
    <cfRule type="expression" dxfId="692" priority="16">
      <formula>AND(COUNTIF(G5:L5,"&lt;&gt;" &amp; "")&gt;0,NOT(ISBLANK(E5)))</formula>
    </cfRule>
  </conditionalFormatting>
  <conditionalFormatting sqref="E8">
    <cfRule type="expression" dxfId="691" priority="17">
      <formula>COUNTIF(G8:L8,"&lt;&gt;" &amp; "")&gt;0</formula>
    </cfRule>
    <cfRule type="expression" dxfId="690" priority="18">
      <formula>AND(COUNTIF(G8:L8,"&lt;&gt;" &amp; "")&gt;0,NOT(ISBLANK(E8)))</formula>
    </cfRule>
  </conditionalFormatting>
  <conditionalFormatting sqref="E11">
    <cfRule type="expression" dxfId="689" priority="3">
      <formula>COUNTIF(G11:L11,"&lt;&gt;" &amp; "")&gt;0</formula>
    </cfRule>
    <cfRule type="expression" dxfId="688" priority="4">
      <formula>AND(COUNTIF(G11:L11,"&lt;&gt;" &amp; "")&gt;0,NOT(ISBLANK(E11)))</formula>
    </cfRule>
  </conditionalFormatting>
  <conditionalFormatting sqref="E17">
    <cfRule type="expression" dxfId="687" priority="23">
      <formula>COUNTIF(G17:L17,"&lt;&gt;" &amp; "")&gt;0</formula>
    </cfRule>
    <cfRule type="expression" dxfId="686" priority="24">
      <formula>AND(COUNTIF(G17:L17,"&lt;&gt;" &amp; "")&gt;0,NOT(ISBLANK(E17)))</formula>
    </cfRule>
  </conditionalFormatting>
  <conditionalFormatting sqref="E20">
    <cfRule type="expression" dxfId="685" priority="25">
      <formula>COUNTIF(G20:L20,"&lt;&gt;" &amp; "")&gt;0</formula>
    </cfRule>
    <cfRule type="expression" dxfId="684" priority="26">
      <formula>AND(COUNTIF(G20:L20,"&lt;&gt;" &amp; "")&gt;0,NOT(ISBLANK(E20)))</formula>
    </cfRule>
  </conditionalFormatting>
  <conditionalFormatting sqref="E23">
    <cfRule type="expression" dxfId="683" priority="27">
      <formula>COUNTIF(G23:L23,"&lt;&gt;" &amp; "")&gt;0</formula>
    </cfRule>
    <cfRule type="expression" dxfId="682" priority="28">
      <formula>AND(COUNTIF(G23:L23,"&lt;&gt;" &amp; "")&gt;0,NOT(ISBLANK(E23)))</formula>
    </cfRule>
  </conditionalFormatting>
  <conditionalFormatting sqref="E38">
    <cfRule type="expression" dxfId="681" priority="5">
      <formula>COUNTIF(G38:L38,"&lt;&gt;" &amp; "")&gt;0</formula>
    </cfRule>
    <cfRule type="expression" dxfId="680" priority="6">
      <formula>AND(COUNTIF(G38:L38,"&lt;&gt;" &amp; "")&gt;0,NOT(ISBLANK(E38)))</formula>
    </cfRule>
  </conditionalFormatting>
  <conditionalFormatting sqref="E41">
    <cfRule type="expression" dxfId="679" priority="7">
      <formula>COUNTIF(G41:L41,"&lt;&gt;" &amp; "")&gt;0</formula>
    </cfRule>
    <cfRule type="expression" dxfId="678" priority="8">
      <formula>AND(COUNTIF(G41:L41,"&lt;&gt;" &amp; "")&gt;0,NOT(ISBLANK(E41)))</formula>
    </cfRule>
  </conditionalFormatting>
  <conditionalFormatting sqref="G23:I23 K23 M23 O23 Q23:AA23">
    <cfRule type="expression" dxfId="677" priority="1">
      <formula>COUNTIF(I23:N23,"&lt;&gt;" &amp; "")&gt;0</formula>
    </cfRule>
    <cfRule type="expression" dxfId="676" priority="2">
      <formula>AND(COUNTIF(I23:N23,"&lt;&gt;" &amp; "")&gt;0,NOT(ISBLANK(G23)))</formula>
    </cfRule>
  </conditionalFormatting>
  <dataValidations count="2">
    <dataValidation type="list" allowBlank="1" showInputMessage="1" showErrorMessage="1" sqref="C41 C38" xr:uid="{00000000-0002-0000-0400-000000000000}">
      <formula1>"Number"</formula1>
    </dataValidation>
    <dataValidation type="list" allowBlank="1" showInputMessage="1" showErrorMessage="1" sqref="C2 C35 C32 C29 C26 C23 C20 C17 C14 C11 C8 C5" xr:uid="{00000000-0002-0000-0400-000001000000}">
      <formula1>"Proportion"</formula1>
    </dataValidation>
  </dataValidations>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L32"/>
  <sheetViews>
    <sheetView workbookViewId="0">
      <selection activeCell="G1" sqref="G1:L1048576"/>
    </sheetView>
  </sheetViews>
  <sheetFormatPr defaultRowHeight="14.5" x14ac:dyDescent="0.35"/>
  <cols>
    <col min="1" max="1" width="85.26953125" customWidth="1"/>
    <col min="2" max="2" width="30.26953125" customWidth="1"/>
    <col min="3" max="3" width="12.7265625" customWidth="1"/>
    <col min="4" max="4" width="13.81640625" customWidth="1"/>
    <col min="5" max="5" width="10.54296875" customWidth="1"/>
    <col min="6" max="6" width="3.81640625" customWidth="1"/>
    <col min="7" max="12" width="9.453125" style="35" customWidth="1"/>
  </cols>
  <sheetData>
    <row r="1" spans="1:12" x14ac:dyDescent="0.35">
      <c r="A1" s="1" t="s">
        <v>269</v>
      </c>
      <c r="B1" s="1" t="s">
        <v>28</v>
      </c>
      <c r="C1" s="1" t="s">
        <v>29</v>
      </c>
      <c r="D1" s="1" t="s">
        <v>30</v>
      </c>
      <c r="E1" s="1" t="s">
        <v>31</v>
      </c>
      <c r="F1" s="1"/>
      <c r="G1" s="34">
        <v>2020</v>
      </c>
      <c r="H1" s="34">
        <v>2021</v>
      </c>
      <c r="I1" s="34">
        <v>2022</v>
      </c>
      <c r="J1" s="34">
        <v>2023</v>
      </c>
      <c r="K1" s="34">
        <v>2024</v>
      </c>
      <c r="L1" s="34">
        <v>2025</v>
      </c>
    </row>
    <row r="2" spans="1:12" x14ac:dyDescent="0.35">
      <c r="A2" s="1" t="str">
        <f>'Population Definitions'!$A$6</f>
        <v>msep_hm</v>
      </c>
      <c r="B2" t="s">
        <v>32</v>
      </c>
      <c r="C2" t="s">
        <v>36</v>
      </c>
      <c r="D2" s="3"/>
      <c r="E2" s="3">
        <v>0</v>
      </c>
      <c r="F2" s="4" t="s">
        <v>34</v>
      </c>
      <c r="G2" s="36"/>
      <c r="H2" s="36"/>
      <c r="I2" s="36"/>
      <c r="J2" s="36"/>
      <c r="K2" s="36"/>
      <c r="L2" s="36"/>
    </row>
    <row r="4" spans="1:12" x14ac:dyDescent="0.35">
      <c r="A4" s="1" t="s">
        <v>270</v>
      </c>
      <c r="B4" s="1" t="s">
        <v>28</v>
      </c>
      <c r="C4" s="1" t="s">
        <v>29</v>
      </c>
      <c r="D4" s="1" t="s">
        <v>30</v>
      </c>
      <c r="E4" s="1" t="s">
        <v>31</v>
      </c>
      <c r="F4" s="1"/>
      <c r="G4" s="34">
        <v>2020</v>
      </c>
      <c r="H4" s="34">
        <v>2021</v>
      </c>
      <c r="I4" s="34">
        <v>2022</v>
      </c>
      <c r="J4" s="34">
        <v>2023</v>
      </c>
      <c r="K4" s="34">
        <v>2024</v>
      </c>
      <c r="L4" s="34">
        <v>2025</v>
      </c>
    </row>
    <row r="5" spans="1:12" x14ac:dyDescent="0.35">
      <c r="A5" s="1" t="str">
        <f>'Population Definitions'!$A$6</f>
        <v>msep_hm</v>
      </c>
      <c r="B5" t="s">
        <v>32</v>
      </c>
      <c r="C5" t="s">
        <v>36</v>
      </c>
      <c r="D5" s="3"/>
      <c r="E5" s="3">
        <v>0.84</v>
      </c>
      <c r="F5" s="4" t="s">
        <v>34</v>
      </c>
      <c r="G5" s="36"/>
      <c r="H5" s="36"/>
      <c r="I5" s="36"/>
      <c r="J5" s="36"/>
      <c r="K5" s="36"/>
      <c r="L5" s="36"/>
    </row>
    <row r="7" spans="1:12" x14ac:dyDescent="0.35">
      <c r="A7" s="1" t="s">
        <v>74</v>
      </c>
      <c r="B7" s="1" t="s">
        <v>28</v>
      </c>
      <c r="C7" s="1" t="s">
        <v>29</v>
      </c>
      <c r="D7" s="1" t="s">
        <v>30</v>
      </c>
      <c r="E7" s="1" t="s">
        <v>31</v>
      </c>
      <c r="F7" s="1"/>
      <c r="G7" s="34">
        <v>2020</v>
      </c>
      <c r="H7" s="34">
        <v>2021</v>
      </c>
      <c r="I7" s="34">
        <v>2022</v>
      </c>
      <c r="J7" s="34">
        <v>2023</v>
      </c>
      <c r="K7" s="34">
        <v>2024</v>
      </c>
      <c r="L7" s="34">
        <v>2025</v>
      </c>
    </row>
    <row r="8" spans="1:12" x14ac:dyDescent="0.35">
      <c r="A8" s="1" t="str">
        <f>'Population Definitions'!$A$6</f>
        <v>msep_hm</v>
      </c>
      <c r="B8" t="s">
        <v>32</v>
      </c>
      <c r="C8" t="s">
        <v>36</v>
      </c>
      <c r="D8" s="3"/>
      <c r="E8" s="15">
        <v>5.2999999999999999E-2</v>
      </c>
      <c r="F8" s="4" t="s">
        <v>34</v>
      </c>
      <c r="G8" s="39"/>
      <c r="H8" s="36"/>
      <c r="I8" s="36"/>
      <c r="J8" s="36"/>
      <c r="K8" s="36"/>
      <c r="L8" s="36"/>
    </row>
    <row r="10" spans="1:12" x14ac:dyDescent="0.35">
      <c r="A10" s="1" t="s">
        <v>75</v>
      </c>
      <c r="B10" s="1" t="s">
        <v>28</v>
      </c>
      <c r="C10" s="1" t="s">
        <v>29</v>
      </c>
      <c r="D10" s="1" t="s">
        <v>30</v>
      </c>
      <c r="E10" s="1" t="s">
        <v>31</v>
      </c>
      <c r="F10" s="1"/>
      <c r="G10" s="34">
        <v>2020</v>
      </c>
      <c r="H10" s="34">
        <v>2021</v>
      </c>
      <c r="I10" s="34">
        <v>2022</v>
      </c>
      <c r="J10" s="34">
        <v>2023</v>
      </c>
      <c r="K10" s="34">
        <v>2024</v>
      </c>
      <c r="L10" s="34">
        <v>2025</v>
      </c>
    </row>
    <row r="11" spans="1:12" x14ac:dyDescent="0.35">
      <c r="A11" s="1" t="str">
        <f>'Population Definitions'!$A$6</f>
        <v>msep_hm</v>
      </c>
      <c r="B11" t="s">
        <v>32</v>
      </c>
      <c r="C11" t="s">
        <v>36</v>
      </c>
      <c r="D11" s="3"/>
      <c r="E11" s="3">
        <v>1E-8</v>
      </c>
      <c r="F11" s="4" t="s">
        <v>34</v>
      </c>
      <c r="G11" s="36"/>
      <c r="H11" s="36"/>
      <c r="I11" s="36"/>
      <c r="J11" s="36"/>
      <c r="K11" s="36"/>
      <c r="L11" s="36"/>
    </row>
    <row r="13" spans="1:12" x14ac:dyDescent="0.35">
      <c r="A13" s="1" t="s">
        <v>76</v>
      </c>
      <c r="B13" s="1" t="s">
        <v>28</v>
      </c>
      <c r="C13" s="1" t="s">
        <v>29</v>
      </c>
      <c r="D13" s="1" t="s">
        <v>30</v>
      </c>
      <c r="E13" s="1" t="s">
        <v>31</v>
      </c>
      <c r="F13" s="1"/>
      <c r="G13" s="34">
        <v>2020</v>
      </c>
      <c r="H13" s="34">
        <v>2021</v>
      </c>
      <c r="I13" s="34">
        <v>2022</v>
      </c>
      <c r="J13" s="34">
        <v>2023</v>
      </c>
      <c r="K13" s="34">
        <v>2024</v>
      </c>
      <c r="L13" s="34">
        <v>2025</v>
      </c>
    </row>
    <row r="14" spans="1:12" x14ac:dyDescent="0.35">
      <c r="A14" s="1" t="str">
        <f>'Population Definitions'!$A$6</f>
        <v>msep_hm</v>
      </c>
      <c r="B14" t="s">
        <v>32</v>
      </c>
      <c r="C14" t="s">
        <v>36</v>
      </c>
      <c r="D14" s="3"/>
      <c r="E14" s="15">
        <v>2.18413026903686E-4</v>
      </c>
      <c r="F14" s="4" t="s">
        <v>34</v>
      </c>
      <c r="G14" s="39"/>
      <c r="H14" s="36"/>
      <c r="I14" s="36"/>
      <c r="J14" s="36"/>
      <c r="K14" s="36"/>
      <c r="L14" s="36"/>
    </row>
    <row r="16" spans="1:12" x14ac:dyDescent="0.35">
      <c r="A16" s="1" t="s">
        <v>216</v>
      </c>
      <c r="B16" s="1" t="s">
        <v>28</v>
      </c>
      <c r="C16" s="1" t="s">
        <v>29</v>
      </c>
      <c r="D16" s="1" t="s">
        <v>30</v>
      </c>
      <c r="E16" s="1" t="s">
        <v>31</v>
      </c>
      <c r="F16" s="1"/>
      <c r="G16" s="34">
        <v>2020</v>
      </c>
      <c r="H16" s="34">
        <v>2021</v>
      </c>
      <c r="I16" s="34">
        <v>2022</v>
      </c>
      <c r="J16" s="34">
        <v>2023</v>
      </c>
      <c r="K16" s="34">
        <v>2024</v>
      </c>
      <c r="L16" s="34">
        <v>2025</v>
      </c>
    </row>
    <row r="17" spans="1:12" x14ac:dyDescent="0.35">
      <c r="A17" s="1" t="str">
        <f>'Population Definitions'!$A$6</f>
        <v>msep_hm</v>
      </c>
      <c r="B17" t="s">
        <v>32</v>
      </c>
      <c r="C17" t="s">
        <v>64</v>
      </c>
      <c r="D17" s="3"/>
      <c r="E17" s="7">
        <v>4.0000000000000001E-3</v>
      </c>
      <c r="F17" s="4" t="s">
        <v>34</v>
      </c>
      <c r="G17" s="36"/>
      <c r="H17" s="36"/>
      <c r="I17" s="36"/>
      <c r="J17" s="36"/>
      <c r="K17" s="36"/>
      <c r="L17" s="36"/>
    </row>
    <row r="19" spans="1:12" x14ac:dyDescent="0.35">
      <c r="A19" s="1" t="s">
        <v>196</v>
      </c>
      <c r="B19" s="1" t="s">
        <v>28</v>
      </c>
      <c r="C19" s="1" t="s">
        <v>29</v>
      </c>
      <c r="D19" s="1" t="s">
        <v>30</v>
      </c>
      <c r="E19" s="1" t="s">
        <v>31</v>
      </c>
      <c r="F19" s="1"/>
      <c r="G19" s="34">
        <v>2020</v>
      </c>
      <c r="H19" s="34">
        <v>2021</v>
      </c>
      <c r="I19" s="34">
        <v>2022</v>
      </c>
      <c r="J19" s="34">
        <v>2023</v>
      </c>
      <c r="K19" s="34">
        <v>2024</v>
      </c>
      <c r="L19" s="34">
        <v>2025</v>
      </c>
    </row>
    <row r="20" spans="1:12" x14ac:dyDescent="0.35">
      <c r="A20" s="1" t="str">
        <f>'[2]Population Definitions'!$A$6</f>
        <v>msep_hm</v>
      </c>
      <c r="C20" t="s">
        <v>64</v>
      </c>
      <c r="D20" s="3"/>
      <c r="E20">
        <v>7287681.6009999998</v>
      </c>
      <c r="F20" s="4" t="s">
        <v>34</v>
      </c>
      <c r="G20" s="41"/>
      <c r="H20" s="41"/>
      <c r="I20" s="41"/>
      <c r="J20" s="41"/>
      <c r="K20" s="41"/>
      <c r="L20" s="41"/>
    </row>
    <row r="22" spans="1:12" x14ac:dyDescent="0.35">
      <c r="A22" s="1" t="s">
        <v>197</v>
      </c>
      <c r="B22" s="1" t="s">
        <v>28</v>
      </c>
      <c r="C22" s="1" t="s">
        <v>29</v>
      </c>
      <c r="D22" s="1" t="s">
        <v>30</v>
      </c>
      <c r="E22" s="1" t="s">
        <v>31</v>
      </c>
      <c r="F22" s="1"/>
      <c r="G22" s="34">
        <v>2020</v>
      </c>
      <c r="H22" s="34">
        <v>2021</v>
      </c>
      <c r="I22" s="34">
        <v>2022</v>
      </c>
      <c r="J22" s="34">
        <v>2023</v>
      </c>
      <c r="K22" s="34">
        <v>2024</v>
      </c>
      <c r="L22" s="34">
        <v>2025</v>
      </c>
    </row>
    <row r="23" spans="1:12" x14ac:dyDescent="0.35">
      <c r="A23" s="1" t="str">
        <f>'[2]Population Definitions'!$A$6</f>
        <v>msep_hm</v>
      </c>
      <c r="C23" t="s">
        <v>64</v>
      </c>
      <c r="D23" s="3"/>
      <c r="E23">
        <v>2346.2866398000001</v>
      </c>
      <c r="F23" s="4" t="s">
        <v>34</v>
      </c>
      <c r="G23" s="41"/>
      <c r="H23" s="41"/>
      <c r="I23" s="41"/>
      <c r="J23" s="41"/>
      <c r="K23" s="41"/>
      <c r="L23" s="41"/>
    </row>
    <row r="25" spans="1:12" x14ac:dyDescent="0.35">
      <c r="A25" s="1" t="s">
        <v>297</v>
      </c>
      <c r="B25" s="1" t="s">
        <v>28</v>
      </c>
      <c r="C25" s="1" t="s">
        <v>29</v>
      </c>
      <c r="D25" s="1" t="s">
        <v>30</v>
      </c>
      <c r="E25" s="1" t="s">
        <v>31</v>
      </c>
      <c r="F25" s="1"/>
      <c r="G25" s="34">
        <v>2020</v>
      </c>
      <c r="H25" s="34">
        <v>2021</v>
      </c>
      <c r="I25" s="34">
        <v>2022</v>
      </c>
      <c r="J25" s="34">
        <v>2023</v>
      </c>
      <c r="K25" s="34">
        <v>2024</v>
      </c>
      <c r="L25" s="34">
        <v>2025</v>
      </c>
    </row>
    <row r="26" spans="1:12" x14ac:dyDescent="0.35">
      <c r="A26" s="1" t="str">
        <f>'[5]Population Definitions'!$A$6</f>
        <v>msep_hm</v>
      </c>
      <c r="C26" t="s">
        <v>36</v>
      </c>
      <c r="D26" s="3"/>
      <c r="E26" s="25">
        <v>0.1</v>
      </c>
      <c r="F26" s="4" t="s">
        <v>34</v>
      </c>
      <c r="G26" s="41"/>
      <c r="H26" s="41"/>
      <c r="I26" s="41"/>
      <c r="J26" s="41"/>
      <c r="K26" s="41"/>
      <c r="L26" s="41"/>
    </row>
    <row r="28" spans="1:12" ht="15.75" customHeight="1" x14ac:dyDescent="0.35">
      <c r="A28" s="1" t="s">
        <v>298</v>
      </c>
      <c r="B28" s="1" t="s">
        <v>28</v>
      </c>
      <c r="C28" s="1" t="s">
        <v>29</v>
      </c>
      <c r="D28" s="1" t="s">
        <v>30</v>
      </c>
      <c r="E28" s="1" t="s">
        <v>31</v>
      </c>
      <c r="F28" s="1"/>
      <c r="G28" s="34">
        <v>2020</v>
      </c>
      <c r="H28" s="34">
        <v>2021</v>
      </c>
      <c r="I28" s="34">
        <v>2022</v>
      </c>
      <c r="J28" s="34">
        <v>2023</v>
      </c>
      <c r="K28" s="34">
        <v>2024</v>
      </c>
      <c r="L28" s="34">
        <v>2025</v>
      </c>
    </row>
    <row r="29" spans="1:12" x14ac:dyDescent="0.35">
      <c r="A29" s="1" t="str">
        <f>'[5]Population Definitions'!$A$6</f>
        <v>msep_hm</v>
      </c>
      <c r="C29" t="s">
        <v>36</v>
      </c>
      <c r="D29" s="3"/>
      <c r="E29" s="25">
        <v>0.2</v>
      </c>
      <c r="F29" s="4" t="s">
        <v>34</v>
      </c>
      <c r="G29" s="41"/>
      <c r="H29" s="41"/>
      <c r="I29" s="41"/>
      <c r="J29" s="41"/>
      <c r="K29" s="41"/>
      <c r="L29" s="41"/>
    </row>
    <row r="31" spans="1:12" ht="15.75" customHeight="1" x14ac:dyDescent="0.35">
      <c r="A31" s="26" t="s">
        <v>299</v>
      </c>
      <c r="B31" s="1" t="s">
        <v>28</v>
      </c>
      <c r="C31" s="1" t="s">
        <v>29</v>
      </c>
      <c r="D31" s="1" t="s">
        <v>30</v>
      </c>
      <c r="E31" s="1" t="s">
        <v>31</v>
      </c>
      <c r="F31" s="1"/>
      <c r="G31" s="34">
        <v>2020</v>
      </c>
      <c r="H31" s="34">
        <v>2021</v>
      </c>
      <c r="I31" s="34">
        <v>2022</v>
      </c>
      <c r="J31" s="34">
        <v>2023</v>
      </c>
      <c r="K31" s="34">
        <v>2024</v>
      </c>
      <c r="L31" s="34">
        <v>2025</v>
      </c>
    </row>
    <row r="32" spans="1:12" x14ac:dyDescent="0.35">
      <c r="A32" s="1" t="str">
        <f>'[5]Population Definitions'!$A$6</f>
        <v>msep_hm</v>
      </c>
      <c r="C32" t="s">
        <v>36</v>
      </c>
      <c r="D32" s="3"/>
      <c r="E32" s="25">
        <v>0</v>
      </c>
      <c r="F32" s="4" t="s">
        <v>34</v>
      </c>
      <c r="G32" s="41"/>
      <c r="H32" s="41"/>
      <c r="I32" s="41"/>
      <c r="J32" s="41"/>
      <c r="K32" s="41"/>
      <c r="L32" s="41"/>
    </row>
  </sheetData>
  <conditionalFormatting sqref="E2">
    <cfRule type="expression" dxfId="675" priority="9">
      <formula>COUNTIF(G2:L2,"&lt;&gt;" &amp; "")&gt;0</formula>
    </cfRule>
    <cfRule type="expression" dxfId="674" priority="10">
      <formula>AND(COUNTIF(G2:L2,"&lt;&gt;" &amp; "")&gt;0,NOT(ISBLANK(E2)))</formula>
    </cfRule>
  </conditionalFormatting>
  <conditionalFormatting sqref="E5">
    <cfRule type="expression" dxfId="673" priority="15">
      <formula>COUNTIF(G5:L5,"&lt;&gt;" &amp; "")&gt;0</formula>
    </cfRule>
    <cfRule type="expression" dxfId="672" priority="16">
      <formula>AND(COUNTIF(G5:L5,"&lt;&gt;" &amp; "")&gt;0,NOT(ISBLANK(E5)))</formula>
    </cfRule>
  </conditionalFormatting>
  <conditionalFormatting sqref="E11">
    <cfRule type="expression" dxfId="671" priority="19">
      <formula>COUNTIF(G11:L11,"&lt;&gt;" &amp; "")&gt;0</formula>
    </cfRule>
    <cfRule type="expression" dxfId="670" priority="20">
      <formula>AND(COUNTIF(G11:L11,"&lt;&gt;" &amp; "")&gt;0,NOT(ISBLANK(E11)))</formula>
    </cfRule>
  </conditionalFormatting>
  <conditionalFormatting sqref="E20">
    <cfRule type="expression" dxfId="669" priority="11">
      <formula>COUNTIF(G20:L20,"&lt;&gt;" &amp; "")&gt;0</formula>
    </cfRule>
    <cfRule type="expression" dxfId="668" priority="12">
      <formula>AND(COUNTIF(G20:L20,"&lt;&gt;" &amp; "")&gt;0,NOT(ISBLANK(E20)))</formula>
    </cfRule>
  </conditionalFormatting>
  <conditionalFormatting sqref="E23">
    <cfRule type="expression" dxfId="667" priority="13">
      <formula>COUNTIF(G23:L23,"&lt;&gt;" &amp; "")&gt;0</formula>
    </cfRule>
    <cfRule type="expression" dxfId="666" priority="14">
      <formula>AND(COUNTIF(G23:L23,"&lt;&gt;" &amp; "")&gt;0,NOT(ISBLANK(E23)))</formula>
    </cfRule>
  </conditionalFormatting>
  <conditionalFormatting sqref="E26">
    <cfRule type="expression" dxfId="665" priority="5">
      <formula>COUNTIF(G26:L26,"&lt;&gt;" &amp; "")&gt;0</formula>
    </cfRule>
    <cfRule type="expression" dxfId="664" priority="6">
      <formula>AND(COUNTIF(G26:L26,"&lt;&gt;" &amp; "")&gt;0,NOT(ISBLANK(E26)))</formula>
    </cfRule>
  </conditionalFormatting>
  <conditionalFormatting sqref="E29">
    <cfRule type="expression" dxfId="663" priority="7">
      <formula>COUNTIF(G29:L29,"&lt;&gt;" &amp; "")&gt;0</formula>
    </cfRule>
    <cfRule type="expression" dxfId="662" priority="8">
      <formula>AND(COUNTIF(G29:L29,"&lt;&gt;" &amp; "")&gt;0,NOT(ISBLANK(E29)))</formula>
    </cfRule>
  </conditionalFormatting>
  <conditionalFormatting sqref="E32">
    <cfRule type="expression" dxfId="661" priority="3">
      <formula>COUNTIF(G32:L32,"&lt;&gt;" &amp; "")&gt;0</formula>
    </cfRule>
    <cfRule type="expression" dxfId="660" priority="4">
      <formula>AND(COUNTIF(G32:L32,"&lt;&gt;" &amp; "")&gt;0,NOT(ISBLANK(E32)))</formula>
    </cfRule>
  </conditionalFormatting>
  <dataValidations count="2">
    <dataValidation type="list" allowBlank="1" showInputMessage="1" showErrorMessage="1" sqref="C5 C14 C11 C8 C2 C29 C26 C32" xr:uid="{00000000-0002-0000-0500-000000000000}">
      <formula1>"Proportion"</formula1>
    </dataValidation>
    <dataValidation type="list" allowBlank="1" showInputMessage="1" showErrorMessage="1" sqref="C17 C23 C20" xr:uid="{00000000-0002-0000-0500-000004000000}">
      <formula1>"Number"</formula1>
    </dataValidation>
  </dataValidations>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A1:AA38"/>
  <sheetViews>
    <sheetView workbookViewId="0">
      <selection activeCell="E1" sqref="E1:AA1048576"/>
    </sheetView>
  </sheetViews>
  <sheetFormatPr defaultRowHeight="14.5" x14ac:dyDescent="0.35"/>
  <cols>
    <col min="1" max="1" width="112.453125" customWidth="1"/>
    <col min="2" max="2" width="30.26953125" customWidth="1"/>
    <col min="3" max="3" width="12.7265625" customWidth="1"/>
    <col min="4" max="4" width="13.81640625" customWidth="1"/>
    <col min="5" max="5" width="10.54296875" style="35" customWidth="1"/>
    <col min="6" max="6" width="3.81640625" style="35" customWidth="1"/>
    <col min="7" max="12" width="9.453125" style="35" customWidth="1"/>
    <col min="13" max="27" width="8.7265625" style="35"/>
  </cols>
  <sheetData>
    <row r="1" spans="1:27" x14ac:dyDescent="0.35">
      <c r="A1" s="1" t="s">
        <v>77</v>
      </c>
      <c r="B1" s="1" t="s">
        <v>28</v>
      </c>
      <c r="C1" s="1" t="s">
        <v>29</v>
      </c>
      <c r="D1" s="1" t="s">
        <v>30</v>
      </c>
      <c r="E1" s="34" t="s">
        <v>31</v>
      </c>
      <c r="F1" s="34"/>
      <c r="G1" s="34">
        <v>2020</v>
      </c>
      <c r="H1" s="34">
        <v>2021</v>
      </c>
      <c r="I1" s="34">
        <v>2022</v>
      </c>
      <c r="J1" s="34">
        <v>2023</v>
      </c>
      <c r="K1" s="34">
        <v>2024</v>
      </c>
      <c r="L1" s="34">
        <v>2025</v>
      </c>
    </row>
    <row r="2" spans="1:27" x14ac:dyDescent="0.35">
      <c r="A2" s="1" t="str">
        <f>'Population Definitions'!A9</f>
        <v>ol_hm</v>
      </c>
      <c r="B2" s="23" t="s">
        <v>288</v>
      </c>
      <c r="C2" t="s">
        <v>36</v>
      </c>
      <c r="D2" s="3"/>
      <c r="E2" s="39">
        <v>3.7999999999999999E-2</v>
      </c>
      <c r="F2" s="38" t="s">
        <v>34</v>
      </c>
      <c r="G2" s="39"/>
      <c r="I2" s="36"/>
      <c r="J2" s="36"/>
      <c r="K2" s="36"/>
      <c r="L2" s="36"/>
    </row>
    <row r="4" spans="1:27" x14ac:dyDescent="0.35">
      <c r="A4" s="1" t="s">
        <v>217</v>
      </c>
      <c r="B4" s="1" t="s">
        <v>28</v>
      </c>
      <c r="C4" s="1" t="s">
        <v>29</v>
      </c>
      <c r="D4" s="1" t="s">
        <v>30</v>
      </c>
      <c r="E4" s="34" t="s">
        <v>31</v>
      </c>
      <c r="F4" s="34"/>
      <c r="G4" s="34">
        <v>2020</v>
      </c>
      <c r="H4" s="34">
        <v>2021</v>
      </c>
      <c r="I4" s="34">
        <v>2022</v>
      </c>
      <c r="J4" s="34">
        <v>2023</v>
      </c>
      <c r="K4" s="34">
        <v>2024</v>
      </c>
      <c r="L4" s="34">
        <v>2025</v>
      </c>
      <c r="M4" s="34">
        <v>2026</v>
      </c>
      <c r="N4" s="34">
        <v>2027</v>
      </c>
      <c r="O4" s="34">
        <v>2028</v>
      </c>
      <c r="P4" s="34">
        <v>2029</v>
      </c>
      <c r="Q4" s="34">
        <v>2030</v>
      </c>
      <c r="R4" s="34">
        <v>2031</v>
      </c>
      <c r="S4" s="34">
        <v>2032</v>
      </c>
      <c r="T4" s="34">
        <v>2033</v>
      </c>
      <c r="U4" s="34">
        <v>2034</v>
      </c>
      <c r="V4" s="34">
        <v>2035</v>
      </c>
      <c r="W4" s="34">
        <v>2036</v>
      </c>
      <c r="X4" s="34">
        <v>2037</v>
      </c>
      <c r="Y4" s="34">
        <v>2038</v>
      </c>
      <c r="Z4" s="34">
        <v>2039</v>
      </c>
      <c r="AA4" s="34">
        <v>2040</v>
      </c>
    </row>
    <row r="5" spans="1:27" x14ac:dyDescent="0.35">
      <c r="A5" s="1" t="str">
        <f>A2</f>
        <v>ol_hm</v>
      </c>
      <c r="B5" s="23" t="s">
        <v>288</v>
      </c>
      <c r="C5" t="s">
        <v>36</v>
      </c>
      <c r="D5" s="3"/>
      <c r="E5" s="36">
        <v>0.75</v>
      </c>
      <c r="F5" s="38" t="s">
        <v>34</v>
      </c>
      <c r="G5" s="36">
        <v>0.75</v>
      </c>
      <c r="H5" s="36">
        <v>0.75</v>
      </c>
      <c r="I5" s="36">
        <v>0.75</v>
      </c>
      <c r="J5" s="36">
        <v>0.78125</v>
      </c>
      <c r="K5" s="36">
        <v>0.8125</v>
      </c>
      <c r="L5" s="36">
        <v>0.84375</v>
      </c>
      <c r="M5" s="36">
        <v>0.875</v>
      </c>
      <c r="N5" s="36">
        <v>0.90625</v>
      </c>
      <c r="O5" s="36">
        <v>0.9375</v>
      </c>
      <c r="P5" s="36">
        <v>0.96875</v>
      </c>
      <c r="Q5" s="36">
        <v>1</v>
      </c>
      <c r="R5" s="36">
        <v>1</v>
      </c>
      <c r="S5" s="36">
        <v>1</v>
      </c>
      <c r="T5" s="36">
        <v>1</v>
      </c>
      <c r="U5" s="36">
        <v>1</v>
      </c>
      <c r="V5" s="36">
        <v>1</v>
      </c>
      <c r="W5" s="36">
        <v>1</v>
      </c>
      <c r="X5" s="36">
        <v>1</v>
      </c>
      <c r="Y5" s="36">
        <v>1</v>
      </c>
      <c r="Z5" s="36">
        <v>1</v>
      </c>
      <c r="AA5" s="36">
        <v>1</v>
      </c>
    </row>
    <row r="7" spans="1:27" x14ac:dyDescent="0.35">
      <c r="A7" s="1" t="s">
        <v>78</v>
      </c>
      <c r="B7" s="1" t="s">
        <v>28</v>
      </c>
      <c r="C7" s="1" t="s">
        <v>29</v>
      </c>
      <c r="D7" s="1" t="s">
        <v>30</v>
      </c>
      <c r="E7" s="34" t="s">
        <v>31</v>
      </c>
      <c r="F7" s="34"/>
      <c r="G7" s="34">
        <v>2020</v>
      </c>
      <c r="H7" s="34">
        <v>2021</v>
      </c>
      <c r="I7" s="34">
        <v>2022</v>
      </c>
      <c r="J7" s="34">
        <v>2023</v>
      </c>
      <c r="K7" s="34">
        <v>2024</v>
      </c>
      <c r="L7" s="34">
        <v>2025</v>
      </c>
    </row>
    <row r="8" spans="1:27" x14ac:dyDescent="0.35">
      <c r="A8" s="1" t="str">
        <f>A5</f>
        <v>ol_hm</v>
      </c>
      <c r="B8" t="s">
        <v>32</v>
      </c>
      <c r="C8" t="s">
        <v>36</v>
      </c>
      <c r="D8" s="3"/>
      <c r="E8" s="36">
        <v>0.9</v>
      </c>
      <c r="F8" s="38" t="s">
        <v>34</v>
      </c>
      <c r="G8" s="36"/>
      <c r="H8" s="36"/>
      <c r="I8" s="36"/>
      <c r="J8" s="36"/>
      <c r="K8" s="36"/>
      <c r="L8" s="36"/>
    </row>
    <row r="10" spans="1:27" x14ac:dyDescent="0.35">
      <c r="A10" s="1" t="s">
        <v>218</v>
      </c>
      <c r="B10" s="1" t="s">
        <v>28</v>
      </c>
      <c r="C10" s="1" t="s">
        <v>29</v>
      </c>
      <c r="D10" s="1" t="s">
        <v>30</v>
      </c>
      <c r="E10" s="34" t="s">
        <v>31</v>
      </c>
      <c r="F10" s="34"/>
      <c r="G10" s="34">
        <v>2020</v>
      </c>
      <c r="H10" s="34">
        <v>2021</v>
      </c>
      <c r="I10" s="34">
        <v>2022</v>
      </c>
      <c r="J10" s="34">
        <v>2023</v>
      </c>
      <c r="K10" s="34">
        <v>2024</v>
      </c>
      <c r="L10" s="34">
        <v>2025</v>
      </c>
    </row>
    <row r="11" spans="1:27" x14ac:dyDescent="0.35">
      <c r="A11" s="1" t="str">
        <f>A8</f>
        <v>ol_hm</v>
      </c>
      <c r="B11" t="s">
        <v>32</v>
      </c>
      <c r="C11" t="s">
        <v>36</v>
      </c>
      <c r="D11" s="3"/>
      <c r="E11" s="36">
        <v>0.21</v>
      </c>
      <c r="F11" s="38" t="s">
        <v>34</v>
      </c>
      <c r="G11" s="36"/>
      <c r="H11" s="36"/>
      <c r="I11" s="36"/>
      <c r="J11" s="36"/>
      <c r="K11" s="36"/>
      <c r="L11" s="36"/>
    </row>
    <row r="13" spans="1:27" x14ac:dyDescent="0.35">
      <c r="A13" s="1" t="s">
        <v>79</v>
      </c>
      <c r="B13" s="1" t="s">
        <v>28</v>
      </c>
      <c r="C13" s="1" t="s">
        <v>29</v>
      </c>
      <c r="D13" s="1" t="s">
        <v>30</v>
      </c>
      <c r="E13" s="34" t="s">
        <v>31</v>
      </c>
      <c r="F13" s="34"/>
      <c r="G13" s="34">
        <v>2020</v>
      </c>
      <c r="H13" s="34">
        <v>2021</v>
      </c>
      <c r="I13" s="34">
        <v>2022</v>
      </c>
      <c r="J13" s="34">
        <v>2023</v>
      </c>
      <c r="K13" s="34">
        <v>2024</v>
      </c>
      <c r="L13" s="34">
        <v>2025</v>
      </c>
    </row>
    <row r="14" spans="1:27" x14ac:dyDescent="0.35">
      <c r="A14" s="1" t="str">
        <f>A11</f>
        <v>ol_hm</v>
      </c>
      <c r="B14" s="23" t="s">
        <v>289</v>
      </c>
      <c r="C14" t="s">
        <v>36</v>
      </c>
      <c r="D14" s="3"/>
      <c r="E14" s="42">
        <v>5.9999999999999995E-4</v>
      </c>
      <c r="F14" s="38" t="s">
        <v>34</v>
      </c>
      <c r="G14" s="39"/>
      <c r="H14" s="36"/>
      <c r="I14" s="36"/>
      <c r="J14" s="36"/>
      <c r="K14" s="36"/>
      <c r="L14" s="36"/>
    </row>
    <row r="16" spans="1:27" x14ac:dyDescent="0.35">
      <c r="A16" s="1" t="s">
        <v>80</v>
      </c>
      <c r="B16" s="1" t="s">
        <v>28</v>
      </c>
      <c r="C16" s="1" t="s">
        <v>29</v>
      </c>
      <c r="D16" s="1" t="s">
        <v>30</v>
      </c>
      <c r="E16" s="34" t="s">
        <v>31</v>
      </c>
      <c r="F16" s="34"/>
      <c r="G16" s="34">
        <v>2020</v>
      </c>
      <c r="H16" s="34">
        <v>2021</v>
      </c>
      <c r="I16" s="34">
        <v>2022</v>
      </c>
      <c r="J16" s="34">
        <v>2023</v>
      </c>
      <c r="K16" s="34">
        <v>2024</v>
      </c>
      <c r="L16" s="34">
        <v>2025</v>
      </c>
    </row>
    <row r="17" spans="1:12" x14ac:dyDescent="0.35">
      <c r="A17" s="1" t="str">
        <f>A14</f>
        <v>ol_hm</v>
      </c>
      <c r="B17" t="s">
        <v>32</v>
      </c>
      <c r="C17" t="s">
        <v>36</v>
      </c>
      <c r="D17" s="3"/>
      <c r="E17" s="42">
        <v>1.1999999999999999E-3</v>
      </c>
      <c r="F17" s="38" t="s">
        <v>34</v>
      </c>
      <c r="G17" s="36"/>
      <c r="H17" s="36"/>
      <c r="I17" s="36"/>
      <c r="J17" s="36"/>
      <c r="K17" s="36"/>
      <c r="L17" s="36"/>
    </row>
    <row r="19" spans="1:12" x14ac:dyDescent="0.35">
      <c r="A19" s="1" t="s">
        <v>81</v>
      </c>
      <c r="B19" s="1" t="s">
        <v>28</v>
      </c>
      <c r="C19" s="1" t="s">
        <v>29</v>
      </c>
      <c r="D19" s="1" t="s">
        <v>30</v>
      </c>
      <c r="E19" s="34" t="s">
        <v>31</v>
      </c>
      <c r="F19" s="34"/>
      <c r="G19" s="34">
        <v>2020</v>
      </c>
      <c r="H19" s="34">
        <v>2021</v>
      </c>
      <c r="I19" s="34">
        <v>2022</v>
      </c>
      <c r="J19" s="34">
        <v>2023</v>
      </c>
      <c r="K19" s="34">
        <v>2024</v>
      </c>
      <c r="L19" s="34">
        <v>2025</v>
      </c>
    </row>
    <row r="20" spans="1:12" x14ac:dyDescent="0.35">
      <c r="A20" s="1" t="str">
        <f>A17</f>
        <v>ol_hm</v>
      </c>
      <c r="B20" t="s">
        <v>32</v>
      </c>
      <c r="C20" t="s">
        <v>36</v>
      </c>
      <c r="D20" s="3"/>
      <c r="E20" s="36">
        <v>1</v>
      </c>
      <c r="F20" s="38" t="s">
        <v>34</v>
      </c>
      <c r="G20" s="36"/>
      <c r="H20" s="36"/>
      <c r="I20" s="36"/>
      <c r="J20" s="36"/>
      <c r="K20" s="36"/>
      <c r="L20" s="36"/>
    </row>
    <row r="22" spans="1:12" x14ac:dyDescent="0.35">
      <c r="A22" s="24" t="s">
        <v>291</v>
      </c>
      <c r="B22" s="1" t="s">
        <v>28</v>
      </c>
      <c r="C22" s="1" t="s">
        <v>29</v>
      </c>
      <c r="D22" s="1" t="s">
        <v>30</v>
      </c>
      <c r="E22" s="34" t="s">
        <v>31</v>
      </c>
      <c r="F22" s="34"/>
      <c r="G22" s="34">
        <v>2020</v>
      </c>
      <c r="H22" s="34">
        <v>2021</v>
      </c>
      <c r="I22" s="34">
        <v>2022</v>
      </c>
      <c r="J22" s="34">
        <v>2023</v>
      </c>
      <c r="K22" s="34">
        <v>2024</v>
      </c>
      <c r="L22" s="34">
        <v>2025</v>
      </c>
    </row>
    <row r="23" spans="1:12" x14ac:dyDescent="0.35">
      <c r="A23" s="1" t="str">
        <f>A20</f>
        <v>ol_hm</v>
      </c>
      <c r="B23" t="s">
        <v>292</v>
      </c>
      <c r="C23" t="s">
        <v>36</v>
      </c>
      <c r="D23" s="3"/>
      <c r="E23" s="36">
        <v>0.70899224500000002</v>
      </c>
      <c r="F23" s="38" t="s">
        <v>34</v>
      </c>
      <c r="G23" s="36"/>
      <c r="H23" s="36"/>
      <c r="I23" s="36"/>
      <c r="J23" s="36"/>
      <c r="K23" s="36"/>
      <c r="L23" s="36"/>
    </row>
    <row r="25" spans="1:12" x14ac:dyDescent="0.35">
      <c r="A25" s="1" t="s">
        <v>82</v>
      </c>
      <c r="B25" s="1" t="s">
        <v>28</v>
      </c>
      <c r="C25" s="1" t="s">
        <v>29</v>
      </c>
      <c r="D25" s="1" t="s">
        <v>30</v>
      </c>
      <c r="E25" s="34" t="s">
        <v>31</v>
      </c>
      <c r="F25" s="34"/>
      <c r="G25" s="34">
        <v>2020</v>
      </c>
      <c r="H25" s="34">
        <v>2021</v>
      </c>
      <c r="I25" s="34">
        <v>2022</v>
      </c>
      <c r="J25" s="34">
        <v>2023</v>
      </c>
      <c r="K25" s="34">
        <v>2024</v>
      </c>
      <c r="L25" s="34">
        <v>2025</v>
      </c>
    </row>
    <row r="26" spans="1:12" ht="15" customHeight="1" x14ac:dyDescent="0.35">
      <c r="A26" s="1" t="str">
        <f>'[2]Population Definitions'!$A$8</f>
        <v>ol_hm</v>
      </c>
      <c r="B26" s="32" t="s">
        <v>290</v>
      </c>
      <c r="C26" t="s">
        <v>36</v>
      </c>
      <c r="D26" s="3"/>
      <c r="E26" s="40">
        <v>2.1218021E-2</v>
      </c>
      <c r="F26" s="38" t="s">
        <v>34</v>
      </c>
      <c r="G26" s="36"/>
      <c r="H26" s="36"/>
      <c r="I26" s="36"/>
      <c r="J26" s="36"/>
      <c r="K26" s="36"/>
      <c r="L26" s="36"/>
    </row>
    <row r="27" spans="1:12" x14ac:dyDescent="0.35">
      <c r="B27" s="32"/>
    </row>
    <row r="28" spans="1:12" x14ac:dyDescent="0.35">
      <c r="A28" s="1" t="s">
        <v>83</v>
      </c>
      <c r="B28" s="1" t="s">
        <v>28</v>
      </c>
      <c r="C28" s="1" t="s">
        <v>29</v>
      </c>
      <c r="D28" s="1" t="s">
        <v>30</v>
      </c>
      <c r="E28" s="34" t="s">
        <v>31</v>
      </c>
      <c r="F28" s="34"/>
      <c r="G28" s="34">
        <v>2020</v>
      </c>
      <c r="H28" s="34">
        <v>2021</v>
      </c>
      <c r="I28" s="34">
        <v>2022</v>
      </c>
      <c r="J28" s="34">
        <v>2023</v>
      </c>
      <c r="K28" s="34">
        <v>2024</v>
      </c>
      <c r="L28" s="34">
        <v>2025</v>
      </c>
    </row>
    <row r="29" spans="1:12" ht="15" customHeight="1" x14ac:dyDescent="0.35">
      <c r="A29" s="1" t="str">
        <f>'[2]Population Definitions'!$A$8</f>
        <v>ol_hm</v>
      </c>
      <c r="B29" s="32" t="s">
        <v>290</v>
      </c>
      <c r="C29" t="s">
        <v>36</v>
      </c>
      <c r="D29" s="3"/>
      <c r="E29" s="40">
        <v>4.2436041000000001E-2</v>
      </c>
      <c r="F29" s="38" t="s">
        <v>34</v>
      </c>
      <c r="G29" s="36"/>
      <c r="H29" s="36"/>
      <c r="I29" s="36"/>
      <c r="J29" s="36"/>
      <c r="K29" s="36"/>
      <c r="L29" s="36"/>
    </row>
    <row r="30" spans="1:12" x14ac:dyDescent="0.35">
      <c r="B30" s="32"/>
    </row>
    <row r="31" spans="1:12" x14ac:dyDescent="0.35">
      <c r="A31" s="1" t="s">
        <v>198</v>
      </c>
      <c r="B31" s="1" t="s">
        <v>28</v>
      </c>
      <c r="C31" s="1" t="s">
        <v>29</v>
      </c>
      <c r="D31" s="1" t="s">
        <v>30</v>
      </c>
      <c r="E31" s="34" t="s">
        <v>31</v>
      </c>
      <c r="F31" s="34"/>
      <c r="G31" s="34">
        <v>2020</v>
      </c>
      <c r="H31" s="34">
        <v>2021</v>
      </c>
      <c r="I31" s="34">
        <v>2022</v>
      </c>
      <c r="J31" s="34">
        <v>2023</v>
      </c>
      <c r="K31" s="34">
        <v>2024</v>
      </c>
      <c r="L31" s="34">
        <v>2025</v>
      </c>
    </row>
    <row r="32" spans="1:12" x14ac:dyDescent="0.35">
      <c r="A32" s="1" t="str">
        <f>'[2]Population Definitions'!$A$8</f>
        <v>ol_hm</v>
      </c>
      <c r="C32" t="s">
        <v>64</v>
      </c>
      <c r="D32" s="3"/>
      <c r="E32" s="35">
        <v>3141355</v>
      </c>
      <c r="F32" s="38" t="s">
        <v>34</v>
      </c>
      <c r="G32" s="41"/>
      <c r="H32" s="41"/>
      <c r="I32" s="41"/>
      <c r="J32" s="41"/>
      <c r="K32" s="41"/>
      <c r="L32" s="41"/>
    </row>
    <row r="34" spans="1:12" x14ac:dyDescent="0.35">
      <c r="A34" s="1" t="s">
        <v>199</v>
      </c>
      <c r="B34" s="1" t="s">
        <v>28</v>
      </c>
      <c r="C34" s="1" t="s">
        <v>29</v>
      </c>
      <c r="D34" s="1" t="s">
        <v>30</v>
      </c>
      <c r="E34" s="34" t="s">
        <v>31</v>
      </c>
      <c r="F34" s="34"/>
      <c r="G34" s="34">
        <v>2020</v>
      </c>
      <c r="H34" s="34">
        <v>2021</v>
      </c>
      <c r="I34" s="34">
        <v>2022</v>
      </c>
      <c r="J34" s="34">
        <v>2023</v>
      </c>
      <c r="K34" s="34">
        <v>2024</v>
      </c>
      <c r="L34" s="34">
        <v>2025</v>
      </c>
    </row>
    <row r="35" spans="1:12" x14ac:dyDescent="0.35">
      <c r="A35" s="1" t="str">
        <f>'[2]Population Definitions'!$A$8</f>
        <v>ol_hm</v>
      </c>
      <c r="C35" t="s">
        <v>64</v>
      </c>
      <c r="D35" s="3"/>
      <c r="E35" s="35">
        <v>1267.5238239</v>
      </c>
      <c r="F35" s="38" t="s">
        <v>34</v>
      </c>
      <c r="G35" s="41"/>
      <c r="H35" s="41"/>
      <c r="I35" s="41"/>
      <c r="J35" s="41"/>
      <c r="K35" s="41"/>
      <c r="L35" s="41"/>
    </row>
    <row r="37" spans="1:12" x14ac:dyDescent="0.35">
      <c r="A37" s="1" t="s">
        <v>84</v>
      </c>
      <c r="B37" s="1" t="s">
        <v>28</v>
      </c>
      <c r="C37" s="1" t="s">
        <v>29</v>
      </c>
      <c r="D37" s="1" t="s">
        <v>30</v>
      </c>
      <c r="E37" s="34" t="s">
        <v>31</v>
      </c>
      <c r="F37" s="34"/>
      <c r="G37" s="34">
        <v>2020</v>
      </c>
      <c r="H37" s="34">
        <v>2021</v>
      </c>
      <c r="I37" s="34">
        <v>2022</v>
      </c>
      <c r="J37" s="34">
        <v>2023</v>
      </c>
      <c r="K37" s="34">
        <v>2024</v>
      </c>
      <c r="L37" s="34">
        <v>2025</v>
      </c>
    </row>
    <row r="38" spans="1:12" x14ac:dyDescent="0.35">
      <c r="A38" s="1" t="str">
        <f>'[2]Population Definitions'!$A$8</f>
        <v>ol_hm</v>
      </c>
      <c r="B38" t="s">
        <v>32</v>
      </c>
      <c r="C38" t="s">
        <v>36</v>
      </c>
      <c r="D38" s="3"/>
      <c r="E38" s="36">
        <v>0</v>
      </c>
      <c r="F38" s="38" t="s">
        <v>34</v>
      </c>
      <c r="G38" s="36"/>
      <c r="H38" s="36"/>
      <c r="I38" s="36"/>
      <c r="J38" s="36"/>
      <c r="K38" s="36"/>
      <c r="L38" s="36"/>
    </row>
  </sheetData>
  <mergeCells count="2">
    <mergeCell ref="B29:B30"/>
    <mergeCell ref="B26:B27"/>
  </mergeCells>
  <conditionalFormatting sqref="E5">
    <cfRule type="expression" dxfId="659" priority="15">
      <formula>COUNTIF(G5:L5,"&lt;&gt;" &amp; "")&gt;0</formula>
    </cfRule>
    <cfRule type="expression" dxfId="658" priority="16">
      <formula>AND(COUNTIF(G5:L5,"&lt;&gt;" &amp; "")&gt;0,NOT(ISBLANK(E5)))</formula>
    </cfRule>
  </conditionalFormatting>
  <conditionalFormatting sqref="E8">
    <cfRule type="expression" dxfId="657" priority="17">
      <formula>COUNTIF(G8:L8,"&lt;&gt;" &amp; "")&gt;0</formula>
    </cfRule>
    <cfRule type="expression" dxfId="656" priority="18">
      <formula>AND(COUNTIF(G8:L8,"&lt;&gt;" &amp; "")&gt;0,NOT(ISBLANK(E8)))</formula>
    </cfRule>
  </conditionalFormatting>
  <conditionalFormatting sqref="E11">
    <cfRule type="expression" dxfId="655" priority="19">
      <formula>COUNTIF(G11:L11,"&lt;&gt;" &amp; "")&gt;0</formula>
    </cfRule>
    <cfRule type="expression" dxfId="654" priority="20">
      <formula>AND(COUNTIF(G11:L11,"&lt;&gt;" &amp; "")&gt;0,NOT(ISBLANK(E11)))</formula>
    </cfRule>
  </conditionalFormatting>
  <conditionalFormatting sqref="E20">
    <cfRule type="expression" dxfId="653" priority="25">
      <formula>COUNTIF(G20:L20,"&lt;&gt;" &amp; "")&gt;0</formula>
    </cfRule>
    <cfRule type="expression" dxfId="652" priority="26">
      <formula>AND(COUNTIF(G20:L20,"&lt;&gt;" &amp; "")&gt;0,NOT(ISBLANK(E20)))</formula>
    </cfRule>
  </conditionalFormatting>
  <conditionalFormatting sqref="E23">
    <cfRule type="expression" dxfId="651" priority="1">
      <formula>COUNTIF(G23:L23,"&lt;&gt;" &amp; "")&gt;0</formula>
    </cfRule>
    <cfRule type="expression" dxfId="650" priority="2">
      <formula>AND(COUNTIF(G23:L23,"&lt;&gt;" &amp; "")&gt;0,NOT(ISBLANK(E23)))</formula>
    </cfRule>
  </conditionalFormatting>
  <conditionalFormatting sqref="E32">
    <cfRule type="expression" dxfId="649" priority="5">
      <formula>COUNTIF(G32:L32,"&lt;&gt;" &amp; "")&gt;0</formula>
    </cfRule>
    <cfRule type="expression" dxfId="648" priority="6">
      <formula>AND(COUNTIF(G32:L32,"&lt;&gt;" &amp; "")&gt;0,NOT(ISBLANK(E32)))</formula>
    </cfRule>
  </conditionalFormatting>
  <conditionalFormatting sqref="E35">
    <cfRule type="expression" dxfId="647" priority="7">
      <formula>COUNTIF(G35:L35,"&lt;&gt;" &amp; "")&gt;0</formula>
    </cfRule>
    <cfRule type="expression" dxfId="646" priority="8">
      <formula>AND(COUNTIF(G35:L35,"&lt;&gt;" &amp; "")&gt;0,NOT(ISBLANK(E35)))</formula>
    </cfRule>
  </conditionalFormatting>
  <conditionalFormatting sqref="E38">
    <cfRule type="expression" dxfId="645" priority="9">
      <formula>COUNTIF(G38:L38,"&lt;&gt;" &amp; "")&gt;0</formula>
    </cfRule>
    <cfRule type="expression" dxfId="644" priority="10">
      <formula>AND(COUNTIF(G38:L38,"&lt;&gt;" &amp; "")&gt;0,NOT(ISBLANK(E38)))</formula>
    </cfRule>
  </conditionalFormatting>
  <conditionalFormatting sqref="G5:I5 K5 M5 O5 Q5:AA5">
    <cfRule type="expression" dxfId="643" priority="3">
      <formula>COUNTIF(J5:N5,"&lt;&gt;" &amp; "")&gt;0</formula>
    </cfRule>
    <cfRule type="expression" dxfId="642" priority="4">
      <formula>AND(COUNTIF(J5:N5,"&lt;&gt;" &amp; "")&gt;0,NOT(ISBLANK(G5)))</formula>
    </cfRule>
  </conditionalFormatting>
  <dataValidations count="2">
    <dataValidation type="list" allowBlank="1" showInputMessage="1" showErrorMessage="1" sqref="C2 C29 C26 C20 C17 C14 C11 C8 C5 C38 C23" xr:uid="{00000000-0002-0000-0700-000000000000}">
      <formula1>"Proportion"</formula1>
    </dataValidation>
    <dataValidation type="list" allowBlank="1" showInputMessage="1" showErrorMessage="1" sqref="C32 C35" xr:uid="{D0B5F42D-69D1-4B73-AD04-34711C65137D}">
      <formula1>"Number"</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8080"/>
  </sheetPr>
  <dimension ref="A1:L14"/>
  <sheetViews>
    <sheetView workbookViewId="0">
      <selection activeCell="E11" sqref="E11"/>
    </sheetView>
  </sheetViews>
  <sheetFormatPr defaultRowHeight="14.5" x14ac:dyDescent="0.35"/>
  <cols>
    <col min="1" max="1" width="111.726562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12" x14ac:dyDescent="0.35">
      <c r="A1" s="1" t="s">
        <v>186</v>
      </c>
      <c r="B1" s="1" t="s">
        <v>28</v>
      </c>
      <c r="C1" s="1" t="s">
        <v>29</v>
      </c>
      <c r="D1" s="1" t="s">
        <v>30</v>
      </c>
      <c r="E1" s="1" t="s">
        <v>31</v>
      </c>
      <c r="F1" s="1"/>
      <c r="G1" s="1">
        <v>2020</v>
      </c>
      <c r="H1" s="1">
        <v>2021</v>
      </c>
      <c r="I1" s="1">
        <v>2022</v>
      </c>
      <c r="J1" s="1">
        <v>2023</v>
      </c>
      <c r="K1" s="1">
        <v>2024</v>
      </c>
      <c r="L1" s="1">
        <v>2025</v>
      </c>
    </row>
    <row r="2" spans="1:12" x14ac:dyDescent="0.35">
      <c r="A2" s="1" t="str">
        <f>'Population Definitions'!$A$10</f>
        <v>oth_hm</v>
      </c>
      <c r="B2" t="s">
        <v>32</v>
      </c>
      <c r="C2" t="s">
        <v>36</v>
      </c>
      <c r="D2" s="3"/>
      <c r="E2" s="15">
        <v>1</v>
      </c>
      <c r="F2" s="4" t="s">
        <v>34</v>
      </c>
      <c r="G2" s="3"/>
      <c r="H2" s="3"/>
      <c r="I2" s="3"/>
      <c r="J2" s="3"/>
      <c r="K2" s="3"/>
      <c r="L2" s="3"/>
    </row>
    <row r="4" spans="1:12" x14ac:dyDescent="0.35">
      <c r="A4" s="1" t="s">
        <v>85</v>
      </c>
      <c r="B4" s="1" t="s">
        <v>28</v>
      </c>
      <c r="C4" s="1" t="s">
        <v>29</v>
      </c>
      <c r="D4" s="1" t="s">
        <v>30</v>
      </c>
      <c r="E4" s="1" t="s">
        <v>31</v>
      </c>
      <c r="F4" s="1"/>
      <c r="G4" s="1">
        <v>2020</v>
      </c>
      <c r="H4" s="1">
        <v>2021</v>
      </c>
      <c r="I4" s="1">
        <v>2022</v>
      </c>
      <c r="J4" s="1">
        <v>2023</v>
      </c>
      <c r="K4" s="1">
        <v>2024</v>
      </c>
      <c r="L4" s="1">
        <v>2025</v>
      </c>
    </row>
    <row r="5" spans="1:12" x14ac:dyDescent="0.35">
      <c r="A5" s="1" t="str">
        <f>'Population Definitions'!$A$10</f>
        <v>oth_hm</v>
      </c>
      <c r="B5" t="s">
        <v>32</v>
      </c>
      <c r="C5" t="s">
        <v>36</v>
      </c>
      <c r="D5" s="3"/>
      <c r="E5" s="15">
        <v>1.8295114051425367E-3</v>
      </c>
      <c r="F5" s="4" t="s">
        <v>34</v>
      </c>
      <c r="G5" s="3"/>
      <c r="H5" s="3"/>
      <c r="I5" s="3"/>
      <c r="J5" s="3"/>
      <c r="K5" s="3"/>
      <c r="L5" s="3"/>
    </row>
    <row r="7" spans="1:12" x14ac:dyDescent="0.35">
      <c r="A7" s="1" t="s">
        <v>219</v>
      </c>
      <c r="B7" s="1" t="s">
        <v>28</v>
      </c>
      <c r="C7" s="1" t="s">
        <v>29</v>
      </c>
      <c r="D7" s="1" t="s">
        <v>30</v>
      </c>
      <c r="E7" s="1" t="s">
        <v>31</v>
      </c>
      <c r="F7" s="1"/>
      <c r="G7" s="1">
        <v>2020</v>
      </c>
      <c r="H7" s="1">
        <v>2021</v>
      </c>
      <c r="I7" s="1">
        <v>2022</v>
      </c>
      <c r="J7" s="1">
        <v>2023</v>
      </c>
      <c r="K7" s="1">
        <v>2024</v>
      </c>
      <c r="L7" s="1">
        <v>2025</v>
      </c>
    </row>
    <row r="8" spans="1:12" x14ac:dyDescent="0.35">
      <c r="A8" s="1" t="str">
        <f>'Population Definitions'!$A$10</f>
        <v>oth_hm</v>
      </c>
      <c r="B8" t="s">
        <v>32</v>
      </c>
      <c r="C8" t="s">
        <v>36</v>
      </c>
      <c r="D8" s="3"/>
      <c r="E8" s="3">
        <v>0</v>
      </c>
      <c r="F8" s="4" t="s">
        <v>34</v>
      </c>
      <c r="G8" s="3"/>
      <c r="H8" s="3"/>
      <c r="I8" s="3"/>
      <c r="J8" s="3"/>
      <c r="K8" s="3"/>
      <c r="L8" s="3"/>
    </row>
    <row r="10" spans="1:12" x14ac:dyDescent="0.35">
      <c r="A10" s="1" t="s">
        <v>220</v>
      </c>
      <c r="B10" s="1" t="s">
        <v>28</v>
      </c>
      <c r="C10" s="1" t="s">
        <v>29</v>
      </c>
      <c r="D10" s="1" t="s">
        <v>30</v>
      </c>
      <c r="E10" s="1" t="s">
        <v>31</v>
      </c>
      <c r="F10" s="1"/>
      <c r="G10" s="1">
        <v>2020</v>
      </c>
      <c r="H10" s="1">
        <v>2021</v>
      </c>
      <c r="I10" s="1">
        <v>2022</v>
      </c>
      <c r="J10" s="1">
        <v>2023</v>
      </c>
      <c r="K10" s="1">
        <v>2024</v>
      </c>
      <c r="L10" s="1">
        <v>2025</v>
      </c>
    </row>
    <row r="11" spans="1:12" x14ac:dyDescent="0.35">
      <c r="A11" s="1" t="str">
        <f>'Population Definitions'!$A$10</f>
        <v>oth_hm</v>
      </c>
      <c r="B11" t="s">
        <v>32</v>
      </c>
      <c r="C11" t="s">
        <v>64</v>
      </c>
      <c r="D11" s="3"/>
      <c r="E11" s="3">
        <v>0</v>
      </c>
      <c r="F11" s="4" t="s">
        <v>34</v>
      </c>
      <c r="G11" s="3"/>
      <c r="H11" s="3"/>
      <c r="I11" s="3"/>
      <c r="J11" s="3"/>
      <c r="K11" s="3"/>
      <c r="L11" s="3"/>
    </row>
    <row r="13" spans="1:12" x14ac:dyDescent="0.35">
      <c r="A13" s="1" t="s">
        <v>221</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Definitions'!$A$10</f>
        <v>oth_hm</v>
      </c>
      <c r="B14" t="s">
        <v>32</v>
      </c>
      <c r="C14" t="s">
        <v>64</v>
      </c>
      <c r="D14" s="3"/>
      <c r="E14" s="3">
        <v>0</v>
      </c>
      <c r="F14" s="4" t="s">
        <v>34</v>
      </c>
      <c r="G14" s="3"/>
      <c r="H14" s="3"/>
      <c r="I14" s="3"/>
      <c r="J14" s="3"/>
      <c r="K14" s="3"/>
      <c r="L14" s="3"/>
    </row>
  </sheetData>
  <conditionalFormatting sqref="E8">
    <cfRule type="expression" dxfId="641" priority="13">
      <formula>COUNTIF(G8:L8,"&lt;&gt;" &amp; "")&gt;0</formula>
    </cfRule>
    <cfRule type="expression" dxfId="640" priority="14">
      <formula>AND(COUNTIF(G8:L8,"&lt;&gt;" &amp; "")&gt;0,NOT(ISBLANK(E8)))</formula>
    </cfRule>
  </conditionalFormatting>
  <conditionalFormatting sqref="E11">
    <cfRule type="expression" dxfId="639" priority="3">
      <formula>COUNTIF(G11:L11,"&lt;&gt;" &amp; "")&gt;0</formula>
    </cfRule>
    <cfRule type="expression" dxfId="638" priority="4">
      <formula>AND(COUNTIF(G11:L11,"&lt;&gt;" &amp; "")&gt;0,NOT(ISBLANK(E11)))</formula>
    </cfRule>
  </conditionalFormatting>
  <conditionalFormatting sqref="E14">
    <cfRule type="expression" dxfId="637" priority="1">
      <formula>COUNTIF(G14:L14,"&lt;&gt;" &amp; "")&gt;0</formula>
    </cfRule>
    <cfRule type="expression" dxfId="636" priority="2">
      <formula>AND(COUNTIF(G14:L14,"&lt;&gt;" &amp; "")&gt;0,NOT(ISBLANK(E14)))</formula>
    </cfRule>
  </conditionalFormatting>
  <dataValidations count="1">
    <dataValidation type="list" allowBlank="1" showInputMessage="1" showErrorMessage="1" sqref="C8 C5 C2" xr:uid="{00000000-0002-0000-0800-000000000000}">
      <formula1>"Proportion"</formula1>
    </dataValidation>
  </dataValidations>
  <pageMargins left="0.7" right="0.7" top="0.75" bottom="0.75" header="0.3" footer="0.3"/>
  <pageSetup paperSize="9" orientation="portrait" verticalDpi="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08080"/>
  </sheetPr>
  <dimension ref="A1:L32"/>
  <sheetViews>
    <sheetView workbookViewId="0">
      <selection activeCell="E1" sqref="E1:E1048576"/>
    </sheetView>
  </sheetViews>
  <sheetFormatPr defaultRowHeight="14.5" x14ac:dyDescent="0.35"/>
  <cols>
    <col min="1" max="1" width="125.1796875" customWidth="1"/>
    <col min="2" max="2" width="30.26953125" hidden="1" customWidth="1"/>
    <col min="3" max="3" width="12.7265625" hidden="1" customWidth="1"/>
    <col min="4" max="4" width="13.81640625" hidden="1" customWidth="1"/>
    <col min="5" max="5" width="10.54296875" style="35" customWidth="1"/>
    <col min="6" max="6" width="3.81640625" customWidth="1"/>
    <col min="7" max="12" width="9.453125" customWidth="1"/>
  </cols>
  <sheetData>
    <row r="1" spans="1:12" x14ac:dyDescent="0.35">
      <c r="A1" s="1" t="s">
        <v>86</v>
      </c>
      <c r="B1" s="1" t="s">
        <v>28</v>
      </c>
      <c r="C1" s="1" t="s">
        <v>29</v>
      </c>
      <c r="D1" s="1" t="s">
        <v>30</v>
      </c>
      <c r="E1" s="34" t="s">
        <v>31</v>
      </c>
      <c r="F1" s="1"/>
      <c r="G1" s="1">
        <v>2020</v>
      </c>
      <c r="H1" s="1">
        <v>2021</v>
      </c>
      <c r="I1" s="1">
        <v>2022</v>
      </c>
      <c r="J1" s="1">
        <v>2023</v>
      </c>
      <c r="K1" s="1">
        <v>2024</v>
      </c>
      <c r="L1" s="1">
        <v>2025</v>
      </c>
    </row>
    <row r="2" spans="1:12" x14ac:dyDescent="0.35">
      <c r="A2" s="1" t="str">
        <f>'Population Definitions'!$A$11</f>
        <v>nsep_hm</v>
      </c>
      <c r="B2" t="s">
        <v>32</v>
      </c>
      <c r="C2" t="s">
        <v>36</v>
      </c>
      <c r="D2" s="3"/>
      <c r="E2" s="36">
        <v>4.42</v>
      </c>
      <c r="F2" s="4" t="s">
        <v>34</v>
      </c>
      <c r="G2" s="3"/>
      <c r="H2" s="3"/>
      <c r="I2" s="3"/>
      <c r="J2" s="3"/>
      <c r="K2" s="3"/>
      <c r="L2" s="3"/>
    </row>
    <row r="4" spans="1:12" x14ac:dyDescent="0.35">
      <c r="A4" s="1" t="s">
        <v>181</v>
      </c>
      <c r="B4" s="1" t="s">
        <v>28</v>
      </c>
      <c r="C4" s="1" t="s">
        <v>29</v>
      </c>
      <c r="D4" s="1" t="s">
        <v>30</v>
      </c>
      <c r="E4" s="34" t="s">
        <v>31</v>
      </c>
      <c r="F4" s="1"/>
      <c r="G4" s="1">
        <v>2020</v>
      </c>
      <c r="H4" s="1">
        <v>2021</v>
      </c>
      <c r="I4" s="1">
        <v>2022</v>
      </c>
      <c r="J4" s="1">
        <v>2023</v>
      </c>
      <c r="K4" s="1">
        <v>2024</v>
      </c>
      <c r="L4" s="1">
        <v>2025</v>
      </c>
    </row>
    <row r="5" spans="1:12" x14ac:dyDescent="0.35">
      <c r="A5" s="1" t="str">
        <f>'Population Definitions'!$A$11</f>
        <v>nsep_hm</v>
      </c>
      <c r="B5" t="s">
        <v>32</v>
      </c>
      <c r="C5" t="s">
        <v>36</v>
      </c>
      <c r="D5" s="3"/>
      <c r="E5" s="42">
        <v>0.9</v>
      </c>
      <c r="F5" s="4" t="s">
        <v>34</v>
      </c>
      <c r="G5" s="3"/>
      <c r="H5" s="3"/>
      <c r="I5" s="3"/>
      <c r="J5" s="3"/>
      <c r="K5" s="3"/>
      <c r="L5" s="3"/>
    </row>
    <row r="7" spans="1:12" x14ac:dyDescent="0.35">
      <c r="A7" s="1" t="s">
        <v>87</v>
      </c>
      <c r="B7" s="1" t="s">
        <v>28</v>
      </c>
      <c r="C7" s="1" t="s">
        <v>29</v>
      </c>
      <c r="D7" s="1" t="s">
        <v>30</v>
      </c>
      <c r="E7" s="34" t="s">
        <v>31</v>
      </c>
      <c r="F7" s="1"/>
      <c r="G7" s="1">
        <v>2020</v>
      </c>
      <c r="H7" s="1">
        <v>2021</v>
      </c>
      <c r="I7" s="1">
        <v>2022</v>
      </c>
      <c r="J7" s="1">
        <v>2023</v>
      </c>
      <c r="K7" s="1">
        <v>2024</v>
      </c>
      <c r="L7" s="1">
        <v>2025</v>
      </c>
    </row>
    <row r="8" spans="1:12" x14ac:dyDescent="0.35">
      <c r="A8" s="1" t="str">
        <f>'Population Definitions'!$A$11</f>
        <v>nsep_hm</v>
      </c>
      <c r="B8" t="s">
        <v>32</v>
      </c>
      <c r="C8" t="s">
        <v>36</v>
      </c>
      <c r="D8" s="3"/>
      <c r="E8" s="36">
        <v>0</v>
      </c>
      <c r="F8" s="4" t="s">
        <v>34</v>
      </c>
      <c r="G8" s="3"/>
      <c r="H8" s="3"/>
      <c r="I8" s="3"/>
      <c r="J8" s="3"/>
      <c r="K8" s="3"/>
      <c r="L8" s="3"/>
    </row>
    <row r="10" spans="1:12" x14ac:dyDescent="0.35">
      <c r="A10" s="1" t="s">
        <v>88</v>
      </c>
      <c r="B10" s="1" t="s">
        <v>28</v>
      </c>
      <c r="C10" s="1" t="s">
        <v>29</v>
      </c>
      <c r="D10" s="1" t="s">
        <v>30</v>
      </c>
      <c r="E10" s="34" t="s">
        <v>31</v>
      </c>
      <c r="F10" s="1"/>
      <c r="G10" s="1">
        <v>2020</v>
      </c>
      <c r="H10" s="1">
        <v>2021</v>
      </c>
      <c r="I10" s="1">
        <v>2022</v>
      </c>
      <c r="J10" s="1">
        <v>2023</v>
      </c>
      <c r="K10" s="1">
        <v>2024</v>
      </c>
      <c r="L10" s="1">
        <v>2025</v>
      </c>
    </row>
    <row r="11" spans="1:12" x14ac:dyDescent="0.35">
      <c r="A11" s="1" t="str">
        <f>'Population Definitions'!$A$11</f>
        <v>nsep_hm</v>
      </c>
      <c r="B11" t="s">
        <v>32</v>
      </c>
      <c r="C11" t="s">
        <v>36</v>
      </c>
      <c r="D11" s="3"/>
      <c r="E11" s="36">
        <v>2.86432253389159E-2</v>
      </c>
      <c r="F11" s="4" t="s">
        <v>34</v>
      </c>
      <c r="G11" s="15"/>
      <c r="H11" s="3"/>
      <c r="I11" s="3"/>
      <c r="J11" s="3"/>
      <c r="K11" s="3"/>
      <c r="L11" s="3"/>
    </row>
    <row r="13" spans="1:12" x14ac:dyDescent="0.35">
      <c r="A13" s="1" t="s">
        <v>89</v>
      </c>
      <c r="B13" s="1" t="s">
        <v>28</v>
      </c>
      <c r="C13" s="1" t="s">
        <v>29</v>
      </c>
      <c r="D13" s="1" t="s">
        <v>30</v>
      </c>
      <c r="E13" s="34" t="s">
        <v>31</v>
      </c>
      <c r="F13" s="1"/>
      <c r="G13" s="1">
        <v>2020</v>
      </c>
      <c r="H13" s="1">
        <v>2021</v>
      </c>
      <c r="I13" s="1">
        <v>2022</v>
      </c>
      <c r="J13" s="1">
        <v>2023</v>
      </c>
      <c r="K13" s="1">
        <v>2024</v>
      </c>
      <c r="L13" s="1">
        <v>2025</v>
      </c>
    </row>
    <row r="14" spans="1:12" x14ac:dyDescent="0.35">
      <c r="A14" s="1" t="str">
        <f>'Population Definitions'!$A$11</f>
        <v>nsep_hm</v>
      </c>
      <c r="B14" t="s">
        <v>32</v>
      </c>
      <c r="C14" t="s">
        <v>36</v>
      </c>
      <c r="D14" s="3"/>
      <c r="E14" s="36">
        <f>E11</f>
        <v>2.86432253389159E-2</v>
      </c>
      <c r="F14" s="4" t="s">
        <v>34</v>
      </c>
      <c r="G14" s="3"/>
      <c r="H14" s="3"/>
      <c r="I14" s="3"/>
      <c r="J14" s="3"/>
      <c r="K14" s="3"/>
      <c r="L14" s="3"/>
    </row>
    <row r="16" spans="1:12" x14ac:dyDescent="0.35">
      <c r="A16" s="1" t="s">
        <v>90</v>
      </c>
      <c r="B16" s="1" t="s">
        <v>28</v>
      </c>
      <c r="C16" s="1" t="s">
        <v>29</v>
      </c>
      <c r="D16" s="1" t="s">
        <v>30</v>
      </c>
      <c r="E16" s="34" t="s">
        <v>31</v>
      </c>
      <c r="F16" s="1"/>
      <c r="G16" s="1">
        <v>2020</v>
      </c>
      <c r="H16" s="1">
        <v>2021</v>
      </c>
      <c r="I16" s="1">
        <v>2022</v>
      </c>
      <c r="J16" s="1">
        <v>2023</v>
      </c>
      <c r="K16" s="1">
        <v>2024</v>
      </c>
      <c r="L16" s="1">
        <v>2025</v>
      </c>
    </row>
    <row r="17" spans="1:12" x14ac:dyDescent="0.35">
      <c r="A17" s="1" t="str">
        <f>'Population Definitions'!$A$11</f>
        <v>nsep_hm</v>
      </c>
      <c r="B17" t="s">
        <v>32</v>
      </c>
      <c r="C17" t="s">
        <v>36</v>
      </c>
      <c r="D17" s="3"/>
      <c r="E17" s="36">
        <v>1.5505598508014E-2</v>
      </c>
      <c r="F17" s="4" t="s">
        <v>34</v>
      </c>
      <c r="G17" s="15"/>
      <c r="H17" s="3"/>
      <c r="I17" s="3"/>
      <c r="J17" s="3"/>
      <c r="K17" s="3"/>
      <c r="L17" s="3"/>
    </row>
    <row r="19" spans="1:12" x14ac:dyDescent="0.35">
      <c r="A19" s="1" t="s">
        <v>222</v>
      </c>
      <c r="B19" s="1" t="s">
        <v>28</v>
      </c>
      <c r="C19" s="1" t="s">
        <v>29</v>
      </c>
      <c r="D19" s="1" t="s">
        <v>30</v>
      </c>
      <c r="E19" s="34" t="s">
        <v>31</v>
      </c>
      <c r="F19" s="1"/>
      <c r="G19" s="1">
        <v>2020</v>
      </c>
      <c r="H19" s="1">
        <v>2021</v>
      </c>
      <c r="I19" s="1">
        <v>2022</v>
      </c>
      <c r="J19" s="1">
        <v>2023</v>
      </c>
      <c r="K19" s="1">
        <v>2024</v>
      </c>
      <c r="L19" s="1">
        <v>2025</v>
      </c>
    </row>
    <row r="20" spans="1:12" x14ac:dyDescent="0.35">
      <c r="A20" s="1" t="str">
        <f>'Population Definitions'!$A$11</f>
        <v>nsep_hm</v>
      </c>
      <c r="B20" t="s">
        <v>32</v>
      </c>
      <c r="C20" t="s">
        <v>36</v>
      </c>
      <c r="D20" s="3"/>
      <c r="E20" s="36">
        <v>0.92900000000000005</v>
      </c>
      <c r="F20" s="4" t="s">
        <v>34</v>
      </c>
      <c r="G20" s="3"/>
      <c r="H20" s="3"/>
      <c r="I20" s="3"/>
      <c r="J20" s="3"/>
      <c r="K20" s="3"/>
      <c r="L20" s="3"/>
    </row>
    <row r="22" spans="1:12" x14ac:dyDescent="0.35">
      <c r="A22" s="1" t="s">
        <v>200</v>
      </c>
      <c r="B22" s="1" t="s">
        <v>28</v>
      </c>
      <c r="C22" s="1" t="s">
        <v>29</v>
      </c>
      <c r="D22" s="1" t="s">
        <v>30</v>
      </c>
      <c r="E22" s="34" t="s">
        <v>31</v>
      </c>
      <c r="F22" s="1"/>
      <c r="G22" s="1">
        <v>2020</v>
      </c>
      <c r="H22" s="1">
        <v>2021</v>
      </c>
      <c r="I22" s="1">
        <v>2022</v>
      </c>
      <c r="J22" s="1">
        <v>2023</v>
      </c>
      <c r="K22" s="1">
        <v>2024</v>
      </c>
      <c r="L22" s="1">
        <v>2025</v>
      </c>
    </row>
    <row r="23" spans="1:12" x14ac:dyDescent="0.35">
      <c r="A23" s="1" t="str">
        <f>'Population Definitions'!$A$11</f>
        <v>nsep_hm</v>
      </c>
      <c r="C23" t="s">
        <v>64</v>
      </c>
      <c r="D23" s="3"/>
      <c r="E23" s="37">
        <v>2807922.5501999999</v>
      </c>
      <c r="F23" s="4" t="s">
        <v>34</v>
      </c>
      <c r="G23" s="2"/>
      <c r="H23" s="2"/>
      <c r="I23" s="2"/>
      <c r="J23" s="2"/>
      <c r="K23" s="2"/>
      <c r="L23" s="2"/>
    </row>
    <row r="25" spans="1:12" x14ac:dyDescent="0.35">
      <c r="A25" s="1" t="s">
        <v>201</v>
      </c>
      <c r="B25" s="1" t="s">
        <v>28</v>
      </c>
      <c r="C25" s="1" t="s">
        <v>29</v>
      </c>
      <c r="D25" s="1" t="s">
        <v>30</v>
      </c>
      <c r="E25" s="34" t="s">
        <v>31</v>
      </c>
      <c r="F25" s="1"/>
      <c r="G25" s="1">
        <v>2020</v>
      </c>
      <c r="H25" s="1">
        <v>2021</v>
      </c>
      <c r="I25" s="1">
        <v>2022</v>
      </c>
      <c r="J25" s="1">
        <v>2023</v>
      </c>
      <c r="K25" s="1">
        <v>2024</v>
      </c>
      <c r="L25" s="1">
        <v>2025</v>
      </c>
    </row>
    <row r="26" spans="1:12" x14ac:dyDescent="0.35">
      <c r="A26" s="1" t="str">
        <f>'Population Definitions'!$A$11</f>
        <v>nsep_hm</v>
      </c>
      <c r="B26" t="s">
        <v>32</v>
      </c>
      <c r="C26" t="s">
        <v>64</v>
      </c>
      <c r="D26" s="3"/>
      <c r="E26" s="35">
        <v>43538.519704999999</v>
      </c>
      <c r="F26" s="4" t="s">
        <v>34</v>
      </c>
      <c r="G26" s="3"/>
      <c r="H26" s="3"/>
      <c r="I26" s="3"/>
      <c r="J26" s="3"/>
      <c r="K26" s="3"/>
      <c r="L26" s="3"/>
    </row>
    <row r="28" spans="1:12" x14ac:dyDescent="0.35">
      <c r="A28" s="1" t="s">
        <v>91</v>
      </c>
      <c r="B28" s="1" t="s">
        <v>28</v>
      </c>
      <c r="C28" s="1" t="s">
        <v>29</v>
      </c>
      <c r="D28" s="1" t="s">
        <v>30</v>
      </c>
      <c r="E28" s="34" t="s">
        <v>31</v>
      </c>
      <c r="F28" s="1"/>
      <c r="G28" s="1">
        <v>2020</v>
      </c>
      <c r="H28" s="1">
        <v>2021</v>
      </c>
      <c r="I28" s="1">
        <v>2022</v>
      </c>
      <c r="J28" s="1">
        <v>2023</v>
      </c>
      <c r="K28" s="1">
        <v>2024</v>
      </c>
      <c r="L28" s="1">
        <v>2025</v>
      </c>
    </row>
    <row r="29" spans="1:12" x14ac:dyDescent="0.35">
      <c r="A29" s="1" t="str">
        <f>'Population Definitions'!$A$11</f>
        <v>nsep_hm</v>
      </c>
      <c r="B29" t="s">
        <v>32</v>
      </c>
      <c r="C29" t="s">
        <v>36</v>
      </c>
      <c r="D29" s="3"/>
      <c r="E29" s="40">
        <v>0.45</v>
      </c>
      <c r="F29" s="4" t="s">
        <v>34</v>
      </c>
      <c r="G29" s="3"/>
      <c r="H29" s="3"/>
      <c r="I29" s="3"/>
      <c r="J29" s="3"/>
      <c r="K29" s="3"/>
      <c r="L29" s="3"/>
    </row>
    <row r="31" spans="1:12" x14ac:dyDescent="0.35">
      <c r="A31" s="1" t="s">
        <v>367</v>
      </c>
      <c r="E31" s="34" t="s">
        <v>31</v>
      </c>
      <c r="G31" s="1">
        <v>2020</v>
      </c>
      <c r="H31" s="1">
        <v>2021</v>
      </c>
      <c r="I31" s="1">
        <v>2022</v>
      </c>
      <c r="J31" s="1">
        <v>2023</v>
      </c>
      <c r="K31" s="1">
        <v>2024</v>
      </c>
      <c r="L31" s="1">
        <v>2025</v>
      </c>
    </row>
    <row r="32" spans="1:12" x14ac:dyDescent="0.35">
      <c r="A32" s="1" t="s">
        <v>17</v>
      </c>
      <c r="E32" s="35">
        <v>0</v>
      </c>
      <c r="F32" s="4" t="s">
        <v>34</v>
      </c>
      <c r="G32" s="3"/>
      <c r="H32" s="3"/>
      <c r="I32" s="3"/>
      <c r="J32" s="3"/>
      <c r="K32" s="3"/>
      <c r="L32" s="3"/>
    </row>
  </sheetData>
  <conditionalFormatting sqref="E2">
    <cfRule type="expression" dxfId="635" priority="9">
      <formula>COUNTIF(G2:L2,"&lt;&gt;" &amp; "")&gt;0</formula>
    </cfRule>
    <cfRule type="expression" dxfId="634" priority="10">
      <formula>AND(COUNTIF(G2:L2,"&lt;&gt;" &amp; "")&gt;0,NOT(ISBLANK(E2)))</formula>
    </cfRule>
  </conditionalFormatting>
  <conditionalFormatting sqref="E8">
    <cfRule type="expression" dxfId="633" priority="19">
      <formula>COUNTIF(G8:L8,"&lt;&gt;" &amp; "")&gt;0</formula>
    </cfRule>
    <cfRule type="expression" dxfId="632" priority="20">
      <formula>AND(COUNTIF(G8:L8,"&lt;&gt;" &amp; "")&gt;0,NOT(ISBLANK(E8)))</formula>
    </cfRule>
  </conditionalFormatting>
  <conditionalFormatting sqref="E11">
    <cfRule type="expression" dxfId="631" priority="25">
      <formula>COUNTIF(G11:L11,"&lt;&gt;" &amp; "")&gt;0</formula>
    </cfRule>
    <cfRule type="expression" dxfId="630" priority="26">
      <formula>AND(COUNTIF(G11:L11,"&lt;&gt;" &amp; "")&gt;0,NOT(ISBLANK(E11)))</formula>
    </cfRule>
  </conditionalFormatting>
  <conditionalFormatting sqref="E14">
    <cfRule type="expression" dxfId="629" priority="27">
      <formula>COUNTIF(G14:L14,"&lt;&gt;" &amp; "")&gt;0</formula>
    </cfRule>
    <cfRule type="expression" dxfId="628" priority="28">
      <formula>AND(COUNTIF(G14:L14,"&lt;&gt;" &amp; "")&gt;0,NOT(ISBLANK(E14)))</formula>
    </cfRule>
  </conditionalFormatting>
  <conditionalFormatting sqref="E17">
    <cfRule type="expression" dxfId="627" priority="33">
      <formula>COUNTIF(G17:L17,"&lt;&gt;" &amp; "")&gt;0</formula>
    </cfRule>
    <cfRule type="expression" dxfId="626" priority="34">
      <formula>AND(COUNTIF(G17:L17,"&lt;&gt;" &amp; "")&gt;0,NOT(ISBLANK(E17)))</formula>
    </cfRule>
  </conditionalFormatting>
  <conditionalFormatting sqref="E20">
    <cfRule type="expression" dxfId="625" priority="35">
      <formula>COUNTIF(G20:L20,"&lt;&gt;" &amp; "")&gt;0</formula>
    </cfRule>
    <cfRule type="expression" dxfId="624" priority="36">
      <formula>AND(COUNTIF(G20:L20,"&lt;&gt;" &amp; "")&gt;0,NOT(ISBLANK(E20)))</formula>
    </cfRule>
  </conditionalFormatting>
  <conditionalFormatting sqref="E23">
    <cfRule type="expression" dxfId="623" priority="1">
      <formula>COUNTIF(G23:L23,"&lt;&gt;" &amp; "")&gt;0</formula>
    </cfRule>
    <cfRule type="expression" dxfId="622" priority="2">
      <formula>AND(COUNTIF(G23:L23,"&lt;&gt;" &amp; "")&gt;0,NOT(ISBLANK(E23)))</formula>
    </cfRule>
  </conditionalFormatting>
  <conditionalFormatting sqref="E26">
    <cfRule type="expression" dxfId="621" priority="3">
      <formula>COUNTIF(G26:L26,"&lt;&gt;" &amp; "")&gt;0</formula>
    </cfRule>
    <cfRule type="expression" dxfId="620" priority="4">
      <formula>AND(COUNTIF(G26:L26,"&lt;&gt;" &amp; "")&gt;0,NOT(ISBLANK(E26)))</formula>
    </cfRule>
  </conditionalFormatting>
  <dataValidations count="2">
    <dataValidation type="list" allowBlank="1" showInputMessage="1" showErrorMessage="1" sqref="C2 C5 C20 C17 C14 C11 C8 C29" xr:uid="{00000000-0002-0000-0900-000000000000}">
      <formula1>"Proportion"</formula1>
    </dataValidation>
    <dataValidation type="list" allowBlank="1" showInputMessage="1" showErrorMessage="1" sqref="C23 C26" xr:uid="{3C622346-1EBD-45DA-BB13-B35EB075878F}">
      <formula1>"Number"</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AA98"/>
  <sheetViews>
    <sheetView workbookViewId="0">
      <selection activeCell="A20" sqref="A20"/>
    </sheetView>
  </sheetViews>
  <sheetFormatPr defaultRowHeight="14.5" x14ac:dyDescent="0.35"/>
  <cols>
    <col min="1" max="1" width="107.2695312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27" x14ac:dyDescent="0.35">
      <c r="A1" s="1" t="s">
        <v>271</v>
      </c>
      <c r="B1" s="1" t="s">
        <v>28</v>
      </c>
      <c r="C1" s="1" t="s">
        <v>29</v>
      </c>
      <c r="D1" s="1" t="s">
        <v>30</v>
      </c>
      <c r="E1" s="1" t="s">
        <v>31</v>
      </c>
      <c r="F1" s="1"/>
      <c r="G1" s="1">
        <v>2020</v>
      </c>
      <c r="H1" s="1">
        <v>2021</v>
      </c>
      <c r="I1" s="1">
        <v>2022</v>
      </c>
      <c r="J1" s="1">
        <v>2023</v>
      </c>
      <c r="K1" s="1">
        <v>2024</v>
      </c>
      <c r="L1" s="1">
        <v>2025</v>
      </c>
      <c r="M1" s="1">
        <v>2026</v>
      </c>
      <c r="N1" s="1">
        <v>2027</v>
      </c>
      <c r="O1" s="1">
        <v>2028</v>
      </c>
      <c r="P1" s="1">
        <v>2029</v>
      </c>
      <c r="Q1" s="1">
        <v>2030</v>
      </c>
      <c r="R1" s="1">
        <v>2031</v>
      </c>
      <c r="S1" s="1">
        <v>2032</v>
      </c>
      <c r="T1" s="1">
        <v>2033</v>
      </c>
      <c r="U1" s="1">
        <v>2034</v>
      </c>
      <c r="V1" s="1">
        <v>2035</v>
      </c>
      <c r="W1" s="1">
        <v>2036</v>
      </c>
      <c r="X1" s="1">
        <v>2037</v>
      </c>
      <c r="Y1" s="1">
        <v>2038</v>
      </c>
      <c r="Z1" s="1">
        <v>2039</v>
      </c>
      <c r="AA1" s="1">
        <v>2040</v>
      </c>
    </row>
    <row r="2" spans="1:27" x14ac:dyDescent="0.35">
      <c r="A2" s="1" t="str">
        <f>'Population Definitions'!$A$12</f>
        <v>pt_hm</v>
      </c>
      <c r="B2" t="s">
        <v>32</v>
      </c>
      <c r="C2" t="s">
        <v>36</v>
      </c>
      <c r="D2" s="3"/>
      <c r="E2">
        <v>0.5</v>
      </c>
      <c r="F2" s="4" t="s">
        <v>34</v>
      </c>
      <c r="G2" s="3">
        <v>0.5</v>
      </c>
      <c r="H2" s="3">
        <v>0.5</v>
      </c>
      <c r="I2" s="3">
        <v>0.5</v>
      </c>
      <c r="J2" s="3">
        <v>0.5625</v>
      </c>
      <c r="K2" s="3">
        <v>0.625</v>
      </c>
      <c r="L2" s="3">
        <v>0.6875</v>
      </c>
      <c r="M2" s="3">
        <v>0.75</v>
      </c>
      <c r="N2" s="3">
        <v>0.8125</v>
      </c>
      <c r="O2" s="3">
        <v>0.875</v>
      </c>
      <c r="P2" s="3">
        <v>0.9375</v>
      </c>
      <c r="Q2" s="3">
        <v>1</v>
      </c>
      <c r="R2" s="3">
        <v>1</v>
      </c>
      <c r="S2" s="3">
        <v>1</v>
      </c>
      <c r="T2" s="3">
        <v>1</v>
      </c>
      <c r="U2" s="3">
        <v>1</v>
      </c>
      <c r="V2" s="3">
        <v>1</v>
      </c>
      <c r="W2" s="3">
        <v>1</v>
      </c>
      <c r="X2" s="3">
        <v>1</v>
      </c>
      <c r="Y2" s="3">
        <v>1</v>
      </c>
      <c r="Z2" s="3">
        <v>1</v>
      </c>
      <c r="AA2" s="3">
        <v>1</v>
      </c>
    </row>
    <row r="4" spans="1:27" x14ac:dyDescent="0.35">
      <c r="A4" s="1" t="s">
        <v>295</v>
      </c>
      <c r="B4" s="1" t="s">
        <v>28</v>
      </c>
      <c r="C4" s="1" t="s">
        <v>29</v>
      </c>
      <c r="E4" s="1" t="s">
        <v>31</v>
      </c>
      <c r="G4" s="1">
        <v>2020</v>
      </c>
      <c r="H4" s="1">
        <v>2021</v>
      </c>
      <c r="I4" s="1">
        <v>2022</v>
      </c>
      <c r="J4" s="1">
        <v>2023</v>
      </c>
      <c r="K4" s="1">
        <v>2024</v>
      </c>
      <c r="L4" s="1">
        <v>2025</v>
      </c>
      <c r="M4" s="1">
        <v>2026</v>
      </c>
      <c r="N4" s="1">
        <v>2027</v>
      </c>
      <c r="O4" s="1">
        <v>2028</v>
      </c>
      <c r="P4" s="1">
        <v>2029</v>
      </c>
      <c r="Q4" s="1">
        <v>2030</v>
      </c>
      <c r="R4" s="1">
        <v>2031</v>
      </c>
      <c r="S4" s="1">
        <v>2032</v>
      </c>
      <c r="T4" s="1">
        <v>2033</v>
      </c>
      <c r="U4" s="1">
        <v>2034</v>
      </c>
      <c r="V4" s="1">
        <v>2035</v>
      </c>
      <c r="W4" s="1">
        <v>2036</v>
      </c>
      <c r="X4" s="1">
        <v>2037</v>
      </c>
      <c r="Y4" s="1">
        <v>2038</v>
      </c>
      <c r="Z4" s="1">
        <v>2039</v>
      </c>
      <c r="AA4" s="1">
        <v>2040</v>
      </c>
    </row>
    <row r="5" spans="1:27" x14ac:dyDescent="0.35">
      <c r="A5" s="1" t="str">
        <f>'Population Definitions'!$A$12</f>
        <v>pt_hm</v>
      </c>
      <c r="B5" t="s">
        <v>32</v>
      </c>
      <c r="C5" t="s">
        <v>36</v>
      </c>
      <c r="E5">
        <v>0.92</v>
      </c>
      <c r="F5" s="4" t="s">
        <v>34</v>
      </c>
    </row>
    <row r="7" spans="1:27" x14ac:dyDescent="0.35">
      <c r="A7" s="1" t="s">
        <v>296</v>
      </c>
      <c r="B7" s="1" t="s">
        <v>28</v>
      </c>
      <c r="C7" s="1" t="s">
        <v>29</v>
      </c>
      <c r="E7" s="1" t="s">
        <v>31</v>
      </c>
      <c r="G7" s="1">
        <v>2020</v>
      </c>
      <c r="H7" s="1">
        <v>2021</v>
      </c>
      <c r="I7" s="1">
        <v>2022</v>
      </c>
      <c r="J7" s="1">
        <v>2023</v>
      </c>
      <c r="K7" s="1">
        <v>2024</v>
      </c>
      <c r="L7" s="1">
        <v>2025</v>
      </c>
      <c r="M7" s="1">
        <v>2026</v>
      </c>
      <c r="N7" s="1">
        <v>2027</v>
      </c>
      <c r="O7" s="1">
        <v>2028</v>
      </c>
      <c r="P7" s="1">
        <v>2029</v>
      </c>
      <c r="Q7" s="1">
        <v>2030</v>
      </c>
      <c r="R7" s="1">
        <v>2031</v>
      </c>
      <c r="S7" s="1">
        <v>2032</v>
      </c>
      <c r="T7" s="1">
        <v>2033</v>
      </c>
      <c r="U7" s="1">
        <v>2034</v>
      </c>
      <c r="V7" s="1">
        <v>2035</v>
      </c>
      <c r="W7" s="1">
        <v>2036</v>
      </c>
      <c r="X7" s="1">
        <v>2037</v>
      </c>
      <c r="Y7" s="1">
        <v>2038</v>
      </c>
      <c r="Z7" s="1">
        <v>2039</v>
      </c>
      <c r="AA7" s="1">
        <v>2040</v>
      </c>
    </row>
    <row r="8" spans="1:27" x14ac:dyDescent="0.35">
      <c r="A8" s="1" t="str">
        <f>'Population Definitions'!$A$12</f>
        <v>pt_hm</v>
      </c>
      <c r="B8" t="s">
        <v>32</v>
      </c>
      <c r="C8" t="s">
        <v>36</v>
      </c>
      <c r="E8">
        <v>0.92</v>
      </c>
      <c r="F8" s="4" t="s">
        <v>34</v>
      </c>
    </row>
    <row r="10" spans="1:27" x14ac:dyDescent="0.35">
      <c r="A10" s="1" t="s">
        <v>92</v>
      </c>
      <c r="B10" s="1" t="s">
        <v>28</v>
      </c>
      <c r="C10" s="1" t="s">
        <v>29</v>
      </c>
      <c r="D10" s="1" t="s">
        <v>30</v>
      </c>
      <c r="E10" s="1" t="s">
        <v>31</v>
      </c>
      <c r="F10" s="1"/>
      <c r="G10" s="1">
        <v>2020</v>
      </c>
      <c r="H10" s="1">
        <v>2021</v>
      </c>
      <c r="I10" s="1">
        <v>2022</v>
      </c>
      <c r="J10" s="1">
        <v>2023</v>
      </c>
      <c r="K10" s="1">
        <v>2024</v>
      </c>
      <c r="L10" s="1">
        <v>2025</v>
      </c>
      <c r="M10" s="1">
        <v>2026</v>
      </c>
      <c r="N10" s="1">
        <v>2027</v>
      </c>
      <c r="O10" s="1">
        <v>2028</v>
      </c>
      <c r="P10" s="1">
        <v>2029</v>
      </c>
      <c r="Q10" s="1">
        <v>2030</v>
      </c>
      <c r="R10" s="1">
        <v>2031</v>
      </c>
      <c r="S10" s="1">
        <v>2032</v>
      </c>
      <c r="T10" s="1">
        <v>2033</v>
      </c>
      <c r="U10" s="1">
        <v>2034</v>
      </c>
      <c r="V10" s="1">
        <v>2035</v>
      </c>
      <c r="W10" s="1">
        <v>2036</v>
      </c>
      <c r="X10" s="1">
        <v>2037</v>
      </c>
      <c r="Y10" s="1">
        <v>2038</v>
      </c>
      <c r="Z10" s="1">
        <v>2039</v>
      </c>
      <c r="AA10" s="1">
        <v>2040</v>
      </c>
    </row>
    <row r="11" spans="1:27" x14ac:dyDescent="0.35">
      <c r="A11" s="1" t="str">
        <f>'Population Definitions'!$A$12</f>
        <v>pt_hm</v>
      </c>
      <c r="B11" t="s">
        <v>32</v>
      </c>
      <c r="C11" t="s">
        <v>36</v>
      </c>
      <c r="D11" s="3"/>
      <c r="E11">
        <v>8.7228842040941029E-2</v>
      </c>
      <c r="F11" s="4" t="s">
        <v>34</v>
      </c>
      <c r="G11" s="14"/>
      <c r="H11" s="3"/>
      <c r="I11" s="3"/>
      <c r="J11" s="3"/>
      <c r="K11" s="3"/>
      <c r="L11" s="3"/>
    </row>
    <row r="13" spans="1:27" x14ac:dyDescent="0.35">
      <c r="A13" s="1" t="s">
        <v>93</v>
      </c>
      <c r="B13" s="1" t="s">
        <v>28</v>
      </c>
      <c r="C13" s="1" t="s">
        <v>29</v>
      </c>
      <c r="D13" s="1" t="s">
        <v>30</v>
      </c>
      <c r="E13" s="1" t="s">
        <v>31</v>
      </c>
      <c r="F13" s="1"/>
      <c r="G13" s="1">
        <v>2020</v>
      </c>
      <c r="H13" s="1">
        <v>2021</v>
      </c>
      <c r="I13" s="1">
        <v>2022</v>
      </c>
      <c r="J13" s="1">
        <v>2023</v>
      </c>
      <c r="K13" s="1">
        <v>2024</v>
      </c>
      <c r="L13" s="1">
        <v>2025</v>
      </c>
    </row>
    <row r="14" spans="1:27" x14ac:dyDescent="0.35">
      <c r="A14" s="1" t="str">
        <f>'Population Definitions'!$A$12</f>
        <v>pt_hm</v>
      </c>
      <c r="B14" t="s">
        <v>32</v>
      </c>
      <c r="C14" t="s">
        <v>36</v>
      </c>
      <c r="D14" s="3"/>
      <c r="E14">
        <v>9.8842018196856909E-2</v>
      </c>
      <c r="F14" s="4" t="s">
        <v>34</v>
      </c>
      <c r="G14" s="14"/>
      <c r="H14" s="3"/>
      <c r="I14" s="3"/>
      <c r="J14" s="3"/>
      <c r="K14" s="3"/>
      <c r="L14" s="3"/>
    </row>
    <row r="16" spans="1:27" x14ac:dyDescent="0.35">
      <c r="A16" s="1" t="s">
        <v>94</v>
      </c>
      <c r="B16" s="1" t="s">
        <v>28</v>
      </c>
      <c r="C16" s="1" t="s">
        <v>29</v>
      </c>
      <c r="D16" s="1" t="s">
        <v>30</v>
      </c>
      <c r="E16" s="1" t="s">
        <v>31</v>
      </c>
      <c r="F16" s="1"/>
      <c r="G16" s="1">
        <v>2020</v>
      </c>
      <c r="H16" s="1">
        <v>2021</v>
      </c>
      <c r="I16" s="1">
        <v>2022</v>
      </c>
      <c r="J16" s="1">
        <v>2023</v>
      </c>
      <c r="K16" s="1">
        <v>2024</v>
      </c>
      <c r="L16" s="1">
        <v>2025</v>
      </c>
    </row>
    <row r="17" spans="1:12" x14ac:dyDescent="0.35">
      <c r="A17" s="1" t="str">
        <f>'Population Definitions'!$A$12</f>
        <v>pt_hm</v>
      </c>
      <c r="B17" t="s">
        <v>32</v>
      </c>
      <c r="C17" t="s">
        <v>36</v>
      </c>
      <c r="D17" s="3"/>
      <c r="E17" s="15">
        <v>7.0000000000000007E-2</v>
      </c>
      <c r="F17" s="4" t="s">
        <v>34</v>
      </c>
      <c r="G17" s="15"/>
      <c r="H17" s="3"/>
      <c r="I17" s="3"/>
      <c r="J17" s="3"/>
      <c r="K17" s="3"/>
      <c r="L17" s="3"/>
    </row>
    <row r="19" spans="1:12" x14ac:dyDescent="0.35">
      <c r="A19" s="1" t="s">
        <v>184</v>
      </c>
      <c r="B19" s="1" t="s">
        <v>28</v>
      </c>
      <c r="C19" s="1" t="s">
        <v>29</v>
      </c>
      <c r="D19" s="1" t="s">
        <v>30</v>
      </c>
      <c r="E19" s="1" t="s">
        <v>31</v>
      </c>
      <c r="F19" s="1"/>
      <c r="G19" s="1">
        <v>2020</v>
      </c>
      <c r="H19" s="1">
        <v>2021</v>
      </c>
      <c r="I19" s="1">
        <v>2022</v>
      </c>
      <c r="J19" s="1">
        <v>2023</v>
      </c>
      <c r="K19" s="1">
        <v>2024</v>
      </c>
      <c r="L19" s="1">
        <v>2025</v>
      </c>
    </row>
    <row r="20" spans="1:12" x14ac:dyDescent="0.35">
      <c r="A20" s="1" t="str">
        <f>'Population Definitions'!$A$12</f>
        <v>pt_hm</v>
      </c>
      <c r="B20" t="s">
        <v>32</v>
      </c>
      <c r="C20" t="s">
        <v>36</v>
      </c>
      <c r="D20" s="3"/>
      <c r="E20" s="3">
        <v>1.53</v>
      </c>
      <c r="F20" s="4" t="s">
        <v>34</v>
      </c>
      <c r="G20" s="3"/>
      <c r="H20" s="3"/>
      <c r="I20" s="3"/>
      <c r="J20" s="3"/>
      <c r="K20" s="3"/>
      <c r="L20" s="3"/>
    </row>
    <row r="22" spans="1:12" x14ac:dyDescent="0.35">
      <c r="A22" s="1" t="s">
        <v>95</v>
      </c>
      <c r="B22" s="1" t="s">
        <v>28</v>
      </c>
      <c r="C22" s="1" t="s">
        <v>29</v>
      </c>
      <c r="D22" s="1" t="s">
        <v>30</v>
      </c>
      <c r="E22" s="1" t="s">
        <v>31</v>
      </c>
      <c r="F22" s="1"/>
      <c r="G22" s="1">
        <v>2020</v>
      </c>
      <c r="H22" s="1">
        <v>2021</v>
      </c>
      <c r="I22" s="1">
        <v>2022</v>
      </c>
      <c r="J22" s="1">
        <v>2023</v>
      </c>
      <c r="K22" s="1">
        <v>2024</v>
      </c>
      <c r="L22" s="1">
        <v>2025</v>
      </c>
    </row>
    <row r="23" spans="1:12" x14ac:dyDescent="0.35">
      <c r="A23" s="1" t="str">
        <f>'Population Definitions'!$A$12</f>
        <v>pt_hm</v>
      </c>
      <c r="B23" t="s">
        <v>32</v>
      </c>
      <c r="C23" t="s">
        <v>36</v>
      </c>
      <c r="D23" s="3"/>
      <c r="E23" s="3">
        <v>2</v>
      </c>
      <c r="F23" s="4" t="s">
        <v>34</v>
      </c>
      <c r="G23" s="3"/>
      <c r="H23" s="3"/>
      <c r="I23" s="3"/>
      <c r="J23" s="3"/>
      <c r="K23" s="3"/>
      <c r="L23" s="3"/>
    </row>
    <row r="25" spans="1:12" x14ac:dyDescent="0.35">
      <c r="A25" s="1" t="s">
        <v>96</v>
      </c>
      <c r="B25" s="1" t="s">
        <v>28</v>
      </c>
      <c r="C25" s="1" t="s">
        <v>29</v>
      </c>
      <c r="D25" s="1" t="s">
        <v>30</v>
      </c>
      <c r="E25" s="1" t="s">
        <v>31</v>
      </c>
      <c r="F25" s="1"/>
      <c r="G25" s="1">
        <v>2020</v>
      </c>
      <c r="H25" s="1">
        <v>2021</v>
      </c>
      <c r="I25" s="1">
        <v>2022</v>
      </c>
      <c r="J25" s="1">
        <v>2023</v>
      </c>
      <c r="K25" s="1">
        <v>2024</v>
      </c>
      <c r="L25" s="1">
        <v>2025</v>
      </c>
    </row>
    <row r="26" spans="1:12" x14ac:dyDescent="0.35">
      <c r="A26" s="1" t="str">
        <f>'Population Definitions'!$A$12</f>
        <v>pt_hm</v>
      </c>
      <c r="B26" t="s">
        <v>32</v>
      </c>
      <c r="C26" t="s">
        <v>36</v>
      </c>
      <c r="D26" s="3"/>
      <c r="E26" s="3">
        <v>1.3</v>
      </c>
      <c r="F26" s="4" t="s">
        <v>34</v>
      </c>
      <c r="G26" s="3"/>
      <c r="H26" s="3"/>
      <c r="I26" s="3"/>
      <c r="J26" s="3"/>
      <c r="K26" s="3"/>
      <c r="L26" s="3"/>
    </row>
    <row r="28" spans="1:12" x14ac:dyDescent="0.35">
      <c r="A28" s="1" t="s">
        <v>305</v>
      </c>
      <c r="B28" s="1" t="s">
        <v>28</v>
      </c>
      <c r="C28" s="1" t="s">
        <v>29</v>
      </c>
      <c r="D28" s="1" t="s">
        <v>30</v>
      </c>
      <c r="E28" s="1" t="s">
        <v>31</v>
      </c>
      <c r="F28" s="1"/>
      <c r="G28" s="1">
        <v>2020</v>
      </c>
      <c r="H28" s="1">
        <v>2021</v>
      </c>
      <c r="I28" s="1">
        <v>2022</v>
      </c>
      <c r="J28" s="1">
        <v>2023</v>
      </c>
      <c r="K28" s="1">
        <v>2024</v>
      </c>
      <c r="L28" s="1">
        <v>2025</v>
      </c>
    </row>
    <row r="29" spans="1:12" x14ac:dyDescent="0.35">
      <c r="A29" s="1" t="str">
        <f>'Population Definitions'!$A$12</f>
        <v>pt_hm</v>
      </c>
      <c r="B29" t="s">
        <v>32</v>
      </c>
      <c r="C29" t="s">
        <v>36</v>
      </c>
      <c r="D29" s="3"/>
      <c r="E29" s="3">
        <v>6.57</v>
      </c>
      <c r="F29" s="4" t="s">
        <v>34</v>
      </c>
      <c r="G29" s="3"/>
      <c r="H29" s="3"/>
      <c r="I29" s="3"/>
      <c r="J29" s="3"/>
      <c r="K29" s="3"/>
      <c r="L29" s="3"/>
    </row>
    <row r="31" spans="1:12" x14ac:dyDescent="0.35">
      <c r="A31" s="1" t="s">
        <v>306</v>
      </c>
      <c r="B31" s="1" t="s">
        <v>28</v>
      </c>
      <c r="C31" s="1" t="s">
        <v>29</v>
      </c>
      <c r="D31" s="1" t="s">
        <v>30</v>
      </c>
      <c r="E31" s="1" t="s">
        <v>31</v>
      </c>
      <c r="F31" s="1"/>
      <c r="G31" s="1">
        <v>2020</v>
      </c>
      <c r="H31" s="1">
        <v>2021</v>
      </c>
      <c r="I31" s="1">
        <v>2022</v>
      </c>
      <c r="J31" s="1">
        <v>2023</v>
      </c>
      <c r="K31" s="1">
        <v>2024</v>
      </c>
      <c r="L31" s="1">
        <v>2025</v>
      </c>
    </row>
    <row r="32" spans="1:12" x14ac:dyDescent="0.35">
      <c r="A32" s="1" t="str">
        <f>'Population Definitions'!$A$12</f>
        <v>pt_hm</v>
      </c>
      <c r="B32" t="s">
        <v>32</v>
      </c>
      <c r="C32" t="s">
        <v>36</v>
      </c>
      <c r="D32" s="3"/>
      <c r="E32" s="3">
        <v>2.44</v>
      </c>
      <c r="F32" s="4" t="s">
        <v>34</v>
      </c>
      <c r="G32" s="3"/>
      <c r="H32" s="3"/>
      <c r="I32" s="3"/>
      <c r="J32" s="3"/>
      <c r="K32" s="3"/>
      <c r="L32" s="3"/>
    </row>
    <row r="34" spans="1:12" x14ac:dyDescent="0.35">
      <c r="A34" s="1" t="s">
        <v>307</v>
      </c>
      <c r="B34" s="1" t="s">
        <v>28</v>
      </c>
      <c r="C34" s="1" t="s">
        <v>29</v>
      </c>
      <c r="D34" s="1" t="s">
        <v>30</v>
      </c>
      <c r="E34" s="1" t="s">
        <v>31</v>
      </c>
      <c r="F34" s="1"/>
      <c r="G34" s="1">
        <v>2020</v>
      </c>
      <c r="H34" s="1">
        <v>2021</v>
      </c>
      <c r="I34" s="1">
        <v>2022</v>
      </c>
      <c r="J34" s="1">
        <v>2023</v>
      </c>
      <c r="K34" s="1">
        <v>2024</v>
      </c>
      <c r="L34" s="1">
        <v>2025</v>
      </c>
    </row>
    <row r="35" spans="1:12" x14ac:dyDescent="0.35">
      <c r="A35" s="1" t="str">
        <f>'Population Definitions'!$A$12</f>
        <v>pt_hm</v>
      </c>
      <c r="B35" t="s">
        <v>32</v>
      </c>
      <c r="C35" t="s">
        <v>36</v>
      </c>
      <c r="D35" s="3"/>
      <c r="E35" s="3">
        <v>2.1</v>
      </c>
      <c r="F35" s="4" t="s">
        <v>34</v>
      </c>
      <c r="G35" s="3"/>
      <c r="H35" s="3"/>
      <c r="I35" s="3"/>
      <c r="J35" s="3"/>
      <c r="K35" s="3"/>
      <c r="L35" s="3"/>
    </row>
    <row r="37" spans="1:12" x14ac:dyDescent="0.35">
      <c r="A37" s="1" t="s">
        <v>308</v>
      </c>
      <c r="B37" s="1" t="s">
        <v>28</v>
      </c>
      <c r="C37" s="1" t="s">
        <v>29</v>
      </c>
      <c r="D37" s="1" t="s">
        <v>30</v>
      </c>
      <c r="E37" s="1" t="s">
        <v>31</v>
      </c>
      <c r="F37" s="1"/>
      <c r="G37" s="1">
        <v>2020</v>
      </c>
      <c r="H37" s="1">
        <v>2021</v>
      </c>
      <c r="I37" s="1">
        <v>2022</v>
      </c>
      <c r="J37" s="1">
        <v>2023</v>
      </c>
      <c r="K37" s="1">
        <v>2024</v>
      </c>
      <c r="L37" s="1">
        <v>2025</v>
      </c>
    </row>
    <row r="38" spans="1:12" x14ac:dyDescent="0.35">
      <c r="A38" s="1" t="str">
        <f>'Population Definitions'!$A$12</f>
        <v>pt_hm</v>
      </c>
      <c r="B38" t="s">
        <v>32</v>
      </c>
      <c r="C38" t="s">
        <v>36</v>
      </c>
      <c r="D38" s="3"/>
      <c r="E38" s="3">
        <v>1.1000000000000001</v>
      </c>
      <c r="F38" s="4" t="s">
        <v>34</v>
      </c>
      <c r="G38" s="3"/>
      <c r="H38" s="3"/>
      <c r="I38" s="3"/>
      <c r="J38" s="3"/>
      <c r="K38" s="3"/>
      <c r="L38" s="3"/>
    </row>
    <row r="40" spans="1:12" x14ac:dyDescent="0.35">
      <c r="A40" s="1" t="s">
        <v>97</v>
      </c>
      <c r="B40" s="1" t="s">
        <v>28</v>
      </c>
      <c r="C40" s="1" t="s">
        <v>29</v>
      </c>
      <c r="D40" s="1" t="s">
        <v>30</v>
      </c>
      <c r="E40" s="1" t="s">
        <v>31</v>
      </c>
      <c r="F40" s="1"/>
      <c r="G40" s="1">
        <v>2020</v>
      </c>
      <c r="H40" s="1">
        <v>2021</v>
      </c>
      <c r="I40" s="1">
        <v>2022</v>
      </c>
      <c r="J40" s="1">
        <v>2023</v>
      </c>
      <c r="K40" s="1">
        <v>2024</v>
      </c>
      <c r="L40" s="1">
        <v>2025</v>
      </c>
    </row>
    <row r="41" spans="1:12" x14ac:dyDescent="0.35">
      <c r="A41" s="1" t="str">
        <f>'Population Definitions'!$A$12</f>
        <v>pt_hm</v>
      </c>
      <c r="B41" t="s">
        <v>32</v>
      </c>
      <c r="C41" t="s">
        <v>36</v>
      </c>
      <c r="D41" s="3"/>
      <c r="E41" s="16">
        <v>7.1445889063006293E-2</v>
      </c>
      <c r="F41" s="4" t="s">
        <v>34</v>
      </c>
      <c r="G41" s="3"/>
      <c r="H41" s="3"/>
      <c r="I41" s="3"/>
      <c r="J41" s="3"/>
      <c r="K41" s="3"/>
      <c r="L41" s="3"/>
    </row>
    <row r="43" spans="1:12" x14ac:dyDescent="0.35">
      <c r="A43" s="1" t="s">
        <v>99</v>
      </c>
      <c r="B43" s="1" t="s">
        <v>28</v>
      </c>
      <c r="C43" s="1" t="s">
        <v>29</v>
      </c>
      <c r="D43" s="1" t="s">
        <v>30</v>
      </c>
      <c r="E43" s="1" t="s">
        <v>31</v>
      </c>
      <c r="F43" s="1"/>
      <c r="G43" s="1">
        <v>2020</v>
      </c>
      <c r="H43" s="1">
        <v>2021</v>
      </c>
      <c r="I43" s="1">
        <v>2022</v>
      </c>
      <c r="J43" s="1">
        <v>2023</v>
      </c>
      <c r="K43" s="1">
        <v>2024</v>
      </c>
      <c r="L43" s="1">
        <v>2025</v>
      </c>
    </row>
    <row r="44" spans="1:12" x14ac:dyDescent="0.35">
      <c r="A44" s="1" t="str">
        <f>'Population Definitions'!$A$12</f>
        <v>pt_hm</v>
      </c>
      <c r="B44" t="s">
        <v>32</v>
      </c>
      <c r="C44" t="s">
        <v>36</v>
      </c>
      <c r="D44" s="3"/>
      <c r="E44">
        <v>8.7228842040941029E-2</v>
      </c>
      <c r="F44" s="4" t="s">
        <v>34</v>
      </c>
      <c r="G44" s="3"/>
      <c r="H44" s="3"/>
      <c r="I44" s="3"/>
      <c r="J44" s="3"/>
      <c r="K44" s="3"/>
      <c r="L44" s="3"/>
    </row>
    <row r="46" spans="1:12" x14ac:dyDescent="0.35">
      <c r="A46" s="1" t="s">
        <v>98</v>
      </c>
      <c r="B46" s="1" t="s">
        <v>28</v>
      </c>
      <c r="C46" s="1" t="s">
        <v>29</v>
      </c>
      <c r="D46" s="1" t="s">
        <v>30</v>
      </c>
      <c r="E46" s="1" t="s">
        <v>31</v>
      </c>
      <c r="F46" s="1"/>
      <c r="G46" s="1">
        <v>2020</v>
      </c>
      <c r="H46" s="1">
        <v>2021</v>
      </c>
      <c r="I46" s="1">
        <v>2022</v>
      </c>
      <c r="J46" s="1">
        <v>2023</v>
      </c>
      <c r="K46" s="1">
        <v>2024</v>
      </c>
      <c r="L46" s="1">
        <v>2025</v>
      </c>
    </row>
    <row r="47" spans="1:12" x14ac:dyDescent="0.35">
      <c r="A47" s="1" t="str">
        <f>'Population Definitions'!$A$12</f>
        <v>pt_hm</v>
      </c>
      <c r="B47" t="s">
        <v>32</v>
      </c>
      <c r="C47" t="s">
        <v>36</v>
      </c>
      <c r="D47" s="3"/>
      <c r="E47">
        <v>9.8842018196856909E-2</v>
      </c>
      <c r="F47" s="4" t="s">
        <v>34</v>
      </c>
      <c r="G47" s="3"/>
      <c r="H47" s="3"/>
      <c r="I47" s="3"/>
      <c r="J47" s="3"/>
      <c r="K47" s="3"/>
      <c r="L47" s="3"/>
    </row>
    <row r="49" spans="1:12" x14ac:dyDescent="0.35">
      <c r="A49" s="1" t="s">
        <v>100</v>
      </c>
      <c r="B49" s="1" t="s">
        <v>28</v>
      </c>
      <c r="C49" s="1" t="s">
        <v>29</v>
      </c>
      <c r="D49" s="1" t="s">
        <v>30</v>
      </c>
      <c r="E49" s="1" t="s">
        <v>31</v>
      </c>
      <c r="F49" s="1"/>
      <c r="G49" s="1">
        <v>2020</v>
      </c>
      <c r="H49" s="1">
        <v>2021</v>
      </c>
      <c r="I49" s="1">
        <v>2022</v>
      </c>
      <c r="J49" s="1">
        <v>2023</v>
      </c>
      <c r="K49" s="1">
        <v>2024</v>
      </c>
      <c r="L49" s="1">
        <v>2025</v>
      </c>
    </row>
    <row r="50" spans="1:12" x14ac:dyDescent="0.35">
      <c r="A50" s="1" t="str">
        <f>'Population Definitions'!$A$12</f>
        <v>pt_hm</v>
      </c>
      <c r="B50" t="s">
        <v>32</v>
      </c>
      <c r="C50" t="s">
        <v>36</v>
      </c>
      <c r="D50" s="3"/>
      <c r="E50" s="3">
        <v>0.6</v>
      </c>
      <c r="F50" s="4" t="s">
        <v>34</v>
      </c>
      <c r="G50" s="3"/>
      <c r="H50" s="3"/>
      <c r="I50" s="3"/>
      <c r="J50" s="3"/>
      <c r="K50" s="3"/>
      <c r="L50" s="3"/>
    </row>
    <row r="52" spans="1:12" x14ac:dyDescent="0.35">
      <c r="A52" s="1" t="s">
        <v>101</v>
      </c>
      <c r="B52" s="1" t="s">
        <v>28</v>
      </c>
      <c r="C52" s="1" t="s">
        <v>29</v>
      </c>
      <c r="D52" s="1" t="s">
        <v>30</v>
      </c>
      <c r="E52" s="1" t="s">
        <v>31</v>
      </c>
      <c r="F52" s="1"/>
      <c r="G52" s="1">
        <v>2020</v>
      </c>
      <c r="H52" s="1">
        <v>2021</v>
      </c>
      <c r="I52" s="1">
        <v>2022</v>
      </c>
      <c r="J52" s="1">
        <v>2023</v>
      </c>
      <c r="K52" s="1">
        <v>2024</v>
      </c>
      <c r="L52" s="1">
        <v>2025</v>
      </c>
    </row>
    <row r="53" spans="1:12" x14ac:dyDescent="0.35">
      <c r="A53" s="1" t="str">
        <f>'Population Definitions'!$A$12</f>
        <v>pt_hm</v>
      </c>
      <c r="B53" t="s">
        <v>32</v>
      </c>
      <c r="C53" t="s">
        <v>36</v>
      </c>
      <c r="D53" s="3"/>
      <c r="E53" s="3">
        <v>0.5</v>
      </c>
      <c r="F53" s="4" t="s">
        <v>34</v>
      </c>
      <c r="G53" s="3"/>
      <c r="H53" s="3"/>
      <c r="I53" s="3"/>
      <c r="J53" s="3"/>
      <c r="K53" s="3"/>
      <c r="L53" s="3"/>
    </row>
    <row r="55" spans="1:12" x14ac:dyDescent="0.35">
      <c r="A55" s="1" t="s">
        <v>102</v>
      </c>
      <c r="B55" s="1" t="s">
        <v>28</v>
      </c>
      <c r="C55" s="1" t="s">
        <v>29</v>
      </c>
      <c r="D55" s="1" t="s">
        <v>30</v>
      </c>
      <c r="E55" s="1" t="s">
        <v>31</v>
      </c>
      <c r="F55" s="1"/>
      <c r="G55" s="1">
        <v>2020</v>
      </c>
      <c r="H55" s="1">
        <v>2021</v>
      </c>
      <c r="I55" s="1">
        <v>2022</v>
      </c>
      <c r="J55" s="1">
        <v>2023</v>
      </c>
      <c r="K55" s="1">
        <v>2024</v>
      </c>
      <c r="L55" s="1">
        <v>2025</v>
      </c>
    </row>
    <row r="56" spans="1:12" x14ac:dyDescent="0.35">
      <c r="A56" s="1" t="str">
        <f>'Population Definitions'!$A$12</f>
        <v>pt_hm</v>
      </c>
      <c r="B56" t="s">
        <v>32</v>
      </c>
      <c r="C56" t="s">
        <v>36</v>
      </c>
      <c r="D56" s="3"/>
      <c r="E56" s="3">
        <v>0.6</v>
      </c>
      <c r="F56" s="4" t="s">
        <v>34</v>
      </c>
      <c r="G56" s="3"/>
      <c r="H56" s="3"/>
      <c r="I56" s="3"/>
      <c r="J56" s="3"/>
      <c r="K56" s="3"/>
      <c r="L56" s="3"/>
    </row>
    <row r="58" spans="1:12" x14ac:dyDescent="0.35">
      <c r="A58" s="1" t="s">
        <v>103</v>
      </c>
      <c r="B58" s="1" t="s">
        <v>28</v>
      </c>
      <c r="C58" s="1" t="s">
        <v>29</v>
      </c>
      <c r="D58" s="1" t="s">
        <v>30</v>
      </c>
      <c r="E58" s="1" t="s">
        <v>31</v>
      </c>
      <c r="F58" s="1"/>
      <c r="G58" s="1">
        <v>2020</v>
      </c>
      <c r="H58" s="1">
        <v>2021</v>
      </c>
      <c r="I58" s="1">
        <v>2022</v>
      </c>
      <c r="J58" s="1">
        <v>2023</v>
      </c>
      <c r="K58" s="1">
        <v>2024</v>
      </c>
      <c r="L58" s="1">
        <v>2025</v>
      </c>
    </row>
    <row r="59" spans="1:12" x14ac:dyDescent="0.35">
      <c r="A59" s="1" t="str">
        <f>'Population Definitions'!$A$12</f>
        <v>pt_hm</v>
      </c>
      <c r="B59" t="s">
        <v>32</v>
      </c>
      <c r="C59" t="s">
        <v>36</v>
      </c>
      <c r="D59" s="3"/>
      <c r="E59" s="3">
        <v>0.5</v>
      </c>
      <c r="F59" s="4" t="s">
        <v>34</v>
      </c>
      <c r="G59" s="3"/>
      <c r="H59" s="3"/>
      <c r="I59" s="3"/>
      <c r="J59" s="3"/>
      <c r="K59" s="3"/>
      <c r="L59" s="3"/>
    </row>
    <row r="61" spans="1:12" x14ac:dyDescent="0.35">
      <c r="A61" s="1" t="s">
        <v>104</v>
      </c>
      <c r="B61" s="1" t="s">
        <v>28</v>
      </c>
      <c r="C61" s="1" t="s">
        <v>29</v>
      </c>
      <c r="D61" s="1" t="s">
        <v>30</v>
      </c>
      <c r="E61" s="1" t="s">
        <v>31</v>
      </c>
      <c r="F61" s="1"/>
      <c r="G61" s="1">
        <v>2020</v>
      </c>
      <c r="H61" s="1">
        <v>2021</v>
      </c>
      <c r="I61" s="1">
        <v>2022</v>
      </c>
      <c r="J61" s="1">
        <v>2023</v>
      </c>
      <c r="K61" s="1">
        <v>2024</v>
      </c>
      <c r="L61" s="1">
        <v>2025</v>
      </c>
    </row>
    <row r="62" spans="1:12" x14ac:dyDescent="0.35">
      <c r="A62" s="1" t="str">
        <f>'Population Definitions'!$A$12</f>
        <v>pt_hm</v>
      </c>
      <c r="B62" t="s">
        <v>32</v>
      </c>
      <c r="C62" t="s">
        <v>36</v>
      </c>
      <c r="D62" s="3"/>
      <c r="E62" s="31">
        <f>E65/2</f>
        <v>4.0559999999999999E-2</v>
      </c>
      <c r="F62" s="4" t="s">
        <v>34</v>
      </c>
      <c r="G62" s="15"/>
      <c r="H62" s="3"/>
      <c r="I62" s="3"/>
      <c r="J62" s="3"/>
      <c r="K62" s="3"/>
      <c r="L62" s="3"/>
    </row>
    <row r="64" spans="1:12" x14ac:dyDescent="0.35">
      <c r="A64" s="1" t="s">
        <v>105</v>
      </c>
      <c r="B64" s="1" t="s">
        <v>28</v>
      </c>
      <c r="C64" s="1" t="s">
        <v>29</v>
      </c>
      <c r="D64" s="1" t="s">
        <v>30</v>
      </c>
      <c r="E64" s="1" t="s">
        <v>31</v>
      </c>
      <c r="F64" s="1"/>
      <c r="G64" s="1">
        <v>2020</v>
      </c>
      <c r="H64" s="1">
        <v>2021</v>
      </c>
      <c r="I64" s="1">
        <v>2022</v>
      </c>
      <c r="J64" s="1">
        <v>2023</v>
      </c>
      <c r="K64" s="1">
        <v>2024</v>
      </c>
      <c r="L64" s="1">
        <v>2025</v>
      </c>
    </row>
    <row r="65" spans="1:12" x14ac:dyDescent="0.35">
      <c r="A65" s="1" t="str">
        <f>'Population Definitions'!$A$12</f>
        <v>pt_hm</v>
      </c>
      <c r="B65" t="s">
        <v>32</v>
      </c>
      <c r="C65" t="s">
        <v>36</v>
      </c>
      <c r="D65" s="3"/>
      <c r="E65" s="15">
        <v>8.1119999999999998E-2</v>
      </c>
      <c r="F65" s="4" t="s">
        <v>34</v>
      </c>
      <c r="G65" s="15"/>
      <c r="H65" s="3"/>
      <c r="I65" s="3"/>
      <c r="J65" s="3"/>
      <c r="K65" s="3"/>
      <c r="L65" s="3"/>
    </row>
    <row r="67" spans="1:12" x14ac:dyDescent="0.35">
      <c r="A67" s="1" t="s">
        <v>106</v>
      </c>
      <c r="B67" s="1" t="s">
        <v>28</v>
      </c>
      <c r="C67" s="1" t="s">
        <v>29</v>
      </c>
      <c r="D67" s="1" t="s">
        <v>30</v>
      </c>
      <c r="E67" s="1" t="s">
        <v>31</v>
      </c>
      <c r="F67" s="1"/>
      <c r="G67" s="1">
        <v>2020</v>
      </c>
      <c r="H67" s="1">
        <v>2021</v>
      </c>
      <c r="I67" s="1">
        <v>2022</v>
      </c>
      <c r="J67" s="1">
        <v>2023</v>
      </c>
      <c r="K67" s="1">
        <v>2024</v>
      </c>
      <c r="L67" s="1">
        <v>2025</v>
      </c>
    </row>
    <row r="68" spans="1:12" x14ac:dyDescent="0.35">
      <c r="A68" s="1" t="str">
        <f>'Population Definitions'!$A$12</f>
        <v>pt_hm</v>
      </c>
      <c r="B68" t="s">
        <v>32</v>
      </c>
      <c r="C68" t="s">
        <v>36</v>
      </c>
      <c r="D68" s="3"/>
      <c r="E68" s="31">
        <f>E71/2</f>
        <v>2.3399999999999997E-2</v>
      </c>
      <c r="F68" s="4" t="s">
        <v>34</v>
      </c>
      <c r="G68" s="3"/>
      <c r="H68" s="3"/>
      <c r="I68" s="3"/>
      <c r="J68" s="3"/>
      <c r="K68" s="3"/>
      <c r="L68" s="3"/>
    </row>
    <row r="70" spans="1:12" x14ac:dyDescent="0.35">
      <c r="A70" s="1" t="s">
        <v>107</v>
      </c>
      <c r="B70" s="1" t="s">
        <v>28</v>
      </c>
      <c r="C70" s="1" t="s">
        <v>29</v>
      </c>
      <c r="D70" s="1" t="s">
        <v>30</v>
      </c>
      <c r="E70" s="1" t="s">
        <v>31</v>
      </c>
      <c r="F70" s="1"/>
      <c r="G70" s="1">
        <v>2020</v>
      </c>
      <c r="H70" s="1">
        <v>2021</v>
      </c>
      <c r="I70" s="1">
        <v>2022</v>
      </c>
      <c r="J70" s="1">
        <v>2023</v>
      </c>
      <c r="K70" s="1">
        <v>2024</v>
      </c>
      <c r="L70" s="1">
        <v>2025</v>
      </c>
    </row>
    <row r="71" spans="1:12" x14ac:dyDescent="0.35">
      <c r="A71" s="1" t="str">
        <f>'Population Definitions'!$A$12</f>
        <v>pt_hm</v>
      </c>
      <c r="B71" t="s">
        <v>32</v>
      </c>
      <c r="C71" t="s">
        <v>36</v>
      </c>
      <c r="D71" s="3"/>
      <c r="E71" s="30">
        <v>4.6799999999999994E-2</v>
      </c>
      <c r="F71" s="4" t="s">
        <v>34</v>
      </c>
      <c r="G71" s="3"/>
      <c r="H71" s="3"/>
      <c r="I71" s="3"/>
      <c r="J71" s="3"/>
      <c r="K71" s="3"/>
      <c r="L71" s="3"/>
    </row>
    <row r="73" spans="1:12" x14ac:dyDescent="0.35">
      <c r="A73" s="1" t="s">
        <v>108</v>
      </c>
      <c r="B73" s="1" t="s">
        <v>28</v>
      </c>
      <c r="C73" s="1" t="s">
        <v>29</v>
      </c>
      <c r="D73" s="1" t="s">
        <v>30</v>
      </c>
      <c r="E73" s="1" t="s">
        <v>31</v>
      </c>
      <c r="F73" s="1"/>
      <c r="G73" s="1">
        <v>2020</v>
      </c>
      <c r="H73" s="1">
        <v>2021</v>
      </c>
      <c r="I73" s="1">
        <v>2022</v>
      </c>
      <c r="J73" s="1">
        <v>2023</v>
      </c>
      <c r="K73" s="1">
        <v>2024</v>
      </c>
      <c r="L73" s="1">
        <v>2025</v>
      </c>
    </row>
    <row r="74" spans="1:12" x14ac:dyDescent="0.35">
      <c r="A74" s="1" t="str">
        <f>'Population Definitions'!$A$12</f>
        <v>pt_hm</v>
      </c>
      <c r="B74" t="s">
        <v>32</v>
      </c>
      <c r="C74" t="s">
        <v>36</v>
      </c>
      <c r="D74" s="3"/>
      <c r="E74" s="31">
        <f>E77/2</f>
        <v>1.0529999999999999E-2</v>
      </c>
      <c r="F74" s="4" t="s">
        <v>34</v>
      </c>
      <c r="G74" s="3"/>
      <c r="H74" s="3"/>
      <c r="I74" s="3"/>
      <c r="J74" s="3"/>
      <c r="K74" s="3"/>
      <c r="L74" s="3"/>
    </row>
    <row r="76" spans="1:12" x14ac:dyDescent="0.35">
      <c r="A76" s="1" t="s">
        <v>109</v>
      </c>
      <c r="B76" s="1" t="s">
        <v>28</v>
      </c>
      <c r="C76" s="1" t="s">
        <v>29</v>
      </c>
      <c r="D76" s="1" t="s">
        <v>30</v>
      </c>
      <c r="E76" s="1" t="s">
        <v>31</v>
      </c>
      <c r="F76" s="1"/>
      <c r="G76" s="1">
        <v>2020</v>
      </c>
      <c r="H76" s="1">
        <v>2021</v>
      </c>
      <c r="I76" s="1">
        <v>2022</v>
      </c>
      <c r="J76" s="1">
        <v>2023</v>
      </c>
      <c r="K76" s="1">
        <v>2024</v>
      </c>
      <c r="L76" s="1">
        <v>2025</v>
      </c>
    </row>
    <row r="77" spans="1:12" x14ac:dyDescent="0.35">
      <c r="A77" s="1" t="str">
        <f>'Population Definitions'!$A$12</f>
        <v>pt_hm</v>
      </c>
      <c r="B77" t="s">
        <v>32</v>
      </c>
      <c r="C77" t="s">
        <v>36</v>
      </c>
      <c r="D77" s="3"/>
      <c r="E77" s="30">
        <v>2.1059999999999999E-2</v>
      </c>
      <c r="F77" s="4" t="s">
        <v>34</v>
      </c>
      <c r="G77" s="3"/>
      <c r="H77" s="3"/>
      <c r="I77" s="3"/>
      <c r="J77" s="3"/>
      <c r="K77" s="3"/>
      <c r="L77" s="3"/>
    </row>
    <row r="79" spans="1:12" x14ac:dyDescent="0.35">
      <c r="A79" s="1" t="s">
        <v>202</v>
      </c>
      <c r="B79" s="1" t="s">
        <v>28</v>
      </c>
      <c r="C79" s="1" t="s">
        <v>29</v>
      </c>
      <c r="D79" s="1" t="s">
        <v>30</v>
      </c>
      <c r="E79" s="1" t="s">
        <v>31</v>
      </c>
      <c r="F79" s="1"/>
      <c r="G79" s="1">
        <v>2020</v>
      </c>
      <c r="H79" s="1">
        <v>2021</v>
      </c>
      <c r="I79" s="1">
        <v>2022</v>
      </c>
      <c r="J79" s="1">
        <v>2023</v>
      </c>
      <c r="K79" s="1">
        <v>2024</v>
      </c>
      <c r="L79" s="1">
        <v>2025</v>
      </c>
    </row>
    <row r="80" spans="1:12" x14ac:dyDescent="0.35">
      <c r="A80" s="1" t="str">
        <f>'[2]Population Definitions'!$A$11</f>
        <v>pt_hm</v>
      </c>
      <c r="C80" t="s">
        <v>64</v>
      </c>
      <c r="D80" s="3"/>
      <c r="E80" s="12">
        <v>4529977.5410000002</v>
      </c>
      <c r="F80" s="4" t="s">
        <v>34</v>
      </c>
      <c r="G80" s="2"/>
      <c r="H80" s="2"/>
      <c r="I80" s="2"/>
      <c r="J80" s="2"/>
      <c r="K80" s="2"/>
      <c r="L80" s="2"/>
    </row>
    <row r="82" spans="1:12" x14ac:dyDescent="0.35">
      <c r="A82" s="1" t="s">
        <v>203</v>
      </c>
      <c r="B82" s="1" t="s">
        <v>28</v>
      </c>
      <c r="C82" s="1" t="s">
        <v>29</v>
      </c>
      <c r="D82" s="1" t="s">
        <v>30</v>
      </c>
      <c r="E82" s="1" t="s">
        <v>31</v>
      </c>
      <c r="F82" s="1"/>
      <c r="G82" s="1">
        <v>2020</v>
      </c>
      <c r="H82" s="1">
        <v>2021</v>
      </c>
      <c r="I82" s="1">
        <v>2022</v>
      </c>
      <c r="J82" s="1">
        <v>2023</v>
      </c>
      <c r="K82" s="1">
        <v>2024</v>
      </c>
      <c r="L82" s="1">
        <v>2025</v>
      </c>
    </row>
    <row r="83" spans="1:12" x14ac:dyDescent="0.35">
      <c r="A83" s="1" t="str">
        <f>'[2]Population Definitions'!$A$11</f>
        <v>pt_hm</v>
      </c>
      <c r="C83" t="s">
        <v>64</v>
      </c>
      <c r="D83" s="3"/>
      <c r="E83">
        <v>160641.22993</v>
      </c>
      <c r="F83" s="4" t="s">
        <v>34</v>
      </c>
      <c r="G83" s="2"/>
      <c r="H83" s="2"/>
      <c r="I83" s="2"/>
      <c r="J83" s="2"/>
      <c r="K83" s="2"/>
      <c r="L83" s="2"/>
    </row>
    <row r="85" spans="1:12" x14ac:dyDescent="0.35">
      <c r="A85" s="1" t="s">
        <v>223</v>
      </c>
      <c r="B85" s="1" t="s">
        <v>28</v>
      </c>
      <c r="C85" s="1" t="s">
        <v>29</v>
      </c>
      <c r="D85" s="1" t="s">
        <v>30</v>
      </c>
      <c r="E85" s="1" t="s">
        <v>31</v>
      </c>
      <c r="F85" s="1"/>
      <c r="G85" s="1">
        <v>2020</v>
      </c>
      <c r="H85" s="1">
        <v>2021</v>
      </c>
      <c r="I85" s="1">
        <v>2022</v>
      </c>
      <c r="J85" s="1">
        <v>2023</v>
      </c>
      <c r="K85" s="1">
        <v>2024</v>
      </c>
      <c r="L85" s="1">
        <v>2025</v>
      </c>
    </row>
    <row r="86" spans="1:12" x14ac:dyDescent="0.35">
      <c r="A86" s="1" t="str">
        <f>'[2]Population Definitions'!$A$11</f>
        <v>pt_hm</v>
      </c>
      <c r="B86" t="s">
        <v>32</v>
      </c>
      <c r="C86" t="s">
        <v>64</v>
      </c>
      <c r="D86" s="3"/>
      <c r="E86" s="7">
        <v>0.72</v>
      </c>
      <c r="F86" s="4" t="s">
        <v>34</v>
      </c>
      <c r="G86" s="3"/>
      <c r="H86" s="3"/>
      <c r="I86" s="3"/>
      <c r="J86" s="3"/>
      <c r="K86" s="3"/>
      <c r="L86" s="3"/>
    </row>
    <row r="88" spans="1:12" x14ac:dyDescent="0.35">
      <c r="A88" s="1" t="s">
        <v>224</v>
      </c>
      <c r="B88" s="1" t="s">
        <v>28</v>
      </c>
      <c r="C88" s="1" t="s">
        <v>29</v>
      </c>
      <c r="D88" s="1" t="s">
        <v>30</v>
      </c>
      <c r="E88" s="1" t="s">
        <v>31</v>
      </c>
      <c r="F88" s="1"/>
      <c r="G88" s="1">
        <v>2020</v>
      </c>
      <c r="H88" s="1">
        <v>2021</v>
      </c>
      <c r="I88" s="1">
        <v>2022</v>
      </c>
      <c r="J88" s="1">
        <v>2023</v>
      </c>
      <c r="K88" s="1">
        <v>2024</v>
      </c>
      <c r="L88" s="1">
        <v>2025</v>
      </c>
    </row>
    <row r="89" spans="1:12" x14ac:dyDescent="0.35">
      <c r="A89" s="1" t="str">
        <f>'[2]Population Definitions'!$A$11</f>
        <v>pt_hm</v>
      </c>
      <c r="B89" t="s">
        <v>32</v>
      </c>
      <c r="C89" t="s">
        <v>64</v>
      </c>
      <c r="D89" s="3"/>
      <c r="E89" s="7">
        <v>0.72</v>
      </c>
      <c r="F89" s="4" t="s">
        <v>34</v>
      </c>
      <c r="G89" s="3"/>
      <c r="H89" s="3"/>
      <c r="I89" s="3"/>
      <c r="J89" s="3"/>
      <c r="K89" s="3"/>
      <c r="L89" s="3"/>
    </row>
    <row r="91" spans="1:12" x14ac:dyDescent="0.35">
      <c r="A91" s="1" t="s">
        <v>225</v>
      </c>
      <c r="B91" s="1" t="s">
        <v>28</v>
      </c>
      <c r="C91" s="1" t="s">
        <v>29</v>
      </c>
      <c r="D91" s="1" t="s">
        <v>30</v>
      </c>
      <c r="E91" s="1" t="s">
        <v>31</v>
      </c>
      <c r="F91" s="1"/>
      <c r="G91" s="1">
        <v>2020</v>
      </c>
      <c r="H91" s="1">
        <v>2021</v>
      </c>
      <c r="I91" s="1">
        <v>2022</v>
      </c>
      <c r="J91" s="1">
        <v>2023</v>
      </c>
      <c r="K91" s="1">
        <v>2024</v>
      </c>
      <c r="L91" s="1">
        <v>2025</v>
      </c>
    </row>
    <row r="92" spans="1:12" x14ac:dyDescent="0.35">
      <c r="A92" s="1" t="str">
        <f>'[2]Population Definitions'!$A$11</f>
        <v>pt_hm</v>
      </c>
      <c r="B92" t="s">
        <v>32</v>
      </c>
      <c r="C92" t="s">
        <v>64</v>
      </c>
      <c r="D92" s="3"/>
      <c r="E92" s="7">
        <v>0.40670000000000001</v>
      </c>
      <c r="F92" s="4" t="s">
        <v>34</v>
      </c>
      <c r="G92" s="3"/>
      <c r="H92" s="3"/>
      <c r="I92" s="3"/>
      <c r="J92" s="3"/>
      <c r="K92" s="3"/>
      <c r="L92" s="3"/>
    </row>
    <row r="94" spans="1:12" x14ac:dyDescent="0.35">
      <c r="A94" s="1" t="s">
        <v>352</v>
      </c>
      <c r="B94" s="1" t="s">
        <v>28</v>
      </c>
      <c r="C94" s="1" t="s">
        <v>29</v>
      </c>
      <c r="D94" s="1" t="s">
        <v>30</v>
      </c>
      <c r="E94" s="1" t="s">
        <v>31</v>
      </c>
      <c r="F94" s="1"/>
      <c r="G94" s="1">
        <v>2020</v>
      </c>
      <c r="H94" s="1">
        <v>2021</v>
      </c>
      <c r="I94" s="1">
        <v>2022</v>
      </c>
      <c r="J94" s="1">
        <v>2023</v>
      </c>
      <c r="K94" s="1">
        <v>2024</v>
      </c>
      <c r="L94" s="1">
        <v>2025</v>
      </c>
    </row>
    <row r="95" spans="1:12" x14ac:dyDescent="0.35">
      <c r="A95" s="1" t="str">
        <f>'[6]Population Definitions'!$A$12</f>
        <v>pt_hm</v>
      </c>
      <c r="B95" t="s">
        <v>32</v>
      </c>
      <c r="C95" t="s">
        <v>36</v>
      </c>
      <c r="D95" s="3"/>
      <c r="E95" s="3">
        <v>0</v>
      </c>
      <c r="F95" s="4" t="s">
        <v>34</v>
      </c>
      <c r="G95" s="3"/>
      <c r="H95" s="3"/>
      <c r="I95" s="3"/>
      <c r="J95" s="3"/>
      <c r="K95" s="3"/>
      <c r="L95" s="3"/>
    </row>
    <row r="97" spans="1:12" x14ac:dyDescent="0.35">
      <c r="A97" s="1" t="s">
        <v>353</v>
      </c>
      <c r="B97" s="1" t="s">
        <v>28</v>
      </c>
      <c r="C97" s="1" t="s">
        <v>29</v>
      </c>
      <c r="D97" s="1" t="s">
        <v>30</v>
      </c>
      <c r="E97" s="1" t="s">
        <v>31</v>
      </c>
      <c r="F97" s="1"/>
      <c r="G97" s="1">
        <v>2020</v>
      </c>
      <c r="H97" s="1">
        <v>2021</v>
      </c>
      <c r="I97" s="1">
        <v>2022</v>
      </c>
      <c r="J97" s="1">
        <v>2023</v>
      </c>
      <c r="K97" s="1">
        <v>2024</v>
      </c>
      <c r="L97" s="1">
        <v>2025</v>
      </c>
    </row>
    <row r="98" spans="1:12" x14ac:dyDescent="0.35">
      <c r="A98" s="1" t="str">
        <f>'[6]Population Definitions'!$A$12</f>
        <v>pt_hm</v>
      </c>
      <c r="B98" t="s">
        <v>32</v>
      </c>
      <c r="C98" t="s">
        <v>36</v>
      </c>
      <c r="D98" s="3"/>
      <c r="E98" s="3">
        <v>0</v>
      </c>
      <c r="F98" s="4" t="s">
        <v>34</v>
      </c>
      <c r="G98" s="3"/>
      <c r="H98" s="3"/>
      <c r="I98" s="3"/>
      <c r="J98" s="3"/>
      <c r="K98" s="3"/>
      <c r="L98" s="3"/>
    </row>
  </sheetData>
  <conditionalFormatting sqref="E2">
    <cfRule type="expression" dxfId="619" priority="26">
      <formula>AND(COUNTIF(G2:L2,"&lt;&gt;" &amp; "")&gt;0,NOT(ISBLANK(E2)))</formula>
    </cfRule>
    <cfRule type="expression" dxfId="618" priority="25">
      <formula>COUNTIF(G2:L2,"&lt;&gt;" &amp; "")&gt;0</formula>
    </cfRule>
  </conditionalFormatting>
  <conditionalFormatting sqref="E11">
    <cfRule type="expression" dxfId="617" priority="76">
      <formula>AND(COUNTIF(G14:L14,"&lt;&gt;" &amp; "")&gt;0,NOT(ISBLANK(E11)))</formula>
    </cfRule>
    <cfRule type="expression" dxfId="616" priority="75">
      <formula>COUNTIF(G14:L14,"&lt;&gt;" &amp; "")&gt;0</formula>
    </cfRule>
  </conditionalFormatting>
  <conditionalFormatting sqref="E14">
    <cfRule type="expression" dxfId="615" priority="23">
      <formula>COUNTIF(G17:L17,"&lt;&gt;" &amp; "")&gt;0</formula>
    </cfRule>
    <cfRule type="expression" dxfId="614" priority="24">
      <formula>AND(COUNTIF(G17:L17,"&lt;&gt;" &amp; "")&gt;0,NOT(ISBLANK(E14)))</formula>
    </cfRule>
  </conditionalFormatting>
  <conditionalFormatting sqref="E20">
    <cfRule type="expression" dxfId="613" priority="92">
      <formula>AND(COUNTIF(G20:L20,"&lt;&gt;" &amp; "")&gt;0,NOT(ISBLANK(E20)))</formula>
    </cfRule>
    <cfRule type="expression" dxfId="612" priority="91">
      <formula>COUNTIF(G20:L20,"&lt;&gt;" &amp; "")&gt;0</formula>
    </cfRule>
  </conditionalFormatting>
  <conditionalFormatting sqref="E23">
    <cfRule type="expression" dxfId="611" priority="109">
      <formula>COUNTIF(G23:L23,"&lt;&gt;" &amp; "")&gt;0</formula>
    </cfRule>
    <cfRule type="expression" dxfId="610" priority="110">
      <formula>AND(COUNTIF(G23:L23,"&lt;&gt;" &amp; "")&gt;0,NOT(ISBLANK(E23)))</formula>
    </cfRule>
  </conditionalFormatting>
  <conditionalFormatting sqref="E26">
    <cfRule type="expression" dxfId="609" priority="111">
      <formula>COUNTIF(G26:L26,"&lt;&gt;" &amp; "")&gt;0</formula>
    </cfRule>
    <cfRule type="expression" dxfId="608" priority="112">
      <formula>AND(COUNTIF(G26:L26,"&lt;&gt;" &amp; "")&gt;0,NOT(ISBLANK(E26)))</formula>
    </cfRule>
  </conditionalFormatting>
  <conditionalFormatting sqref="E29">
    <cfRule type="expression" dxfId="607" priority="13">
      <formula>COUNTIF(G29:L29,"&lt;&gt;" &amp; "")&gt;0</formula>
    </cfRule>
    <cfRule type="expression" dxfId="606" priority="14">
      <formula>AND(COUNTIF(G29:L29,"&lt;&gt;" &amp; "")&gt;0,NOT(ISBLANK(E29)))</formula>
    </cfRule>
  </conditionalFormatting>
  <conditionalFormatting sqref="E32">
    <cfRule type="expression" dxfId="605" priority="15">
      <formula>COUNTIF(G32:L32,"&lt;&gt;" &amp; "")&gt;0</formula>
    </cfRule>
    <cfRule type="expression" dxfId="604" priority="16">
      <formula>AND(COUNTIF(G32:L32,"&lt;&gt;" &amp; "")&gt;0,NOT(ISBLANK(E32)))</formula>
    </cfRule>
  </conditionalFormatting>
  <conditionalFormatting sqref="E35">
    <cfRule type="expression" dxfId="603" priority="17">
      <formula>COUNTIF(G35:L35,"&lt;&gt;" &amp; "")&gt;0</formula>
    </cfRule>
    <cfRule type="expression" dxfId="602" priority="18">
      <formula>AND(COUNTIF(G35:L35,"&lt;&gt;" &amp; "")&gt;0,NOT(ISBLANK(E35)))</formula>
    </cfRule>
  </conditionalFormatting>
  <conditionalFormatting sqref="E38">
    <cfRule type="expression" dxfId="601" priority="19">
      <formula>COUNTIF(G38:L38,"&lt;&gt;" &amp; "")&gt;0</formula>
    </cfRule>
    <cfRule type="expression" dxfId="600" priority="20">
      <formula>AND(COUNTIF(G38:L38,"&lt;&gt;" &amp; "")&gt;0,NOT(ISBLANK(E38)))</formula>
    </cfRule>
  </conditionalFormatting>
  <conditionalFormatting sqref="E44">
    <cfRule type="expression" dxfId="599" priority="3">
      <formula>COUNTIF(G47:L47,"&lt;&gt;" &amp; "")&gt;0</formula>
    </cfRule>
    <cfRule type="expression" dxfId="598" priority="4">
      <formula>AND(COUNTIF(G47:L47,"&lt;&gt;" &amp; "")&gt;0,NOT(ISBLANK(E44)))</formula>
    </cfRule>
  </conditionalFormatting>
  <conditionalFormatting sqref="E47">
    <cfRule type="expression" dxfId="597" priority="2">
      <formula>AND(COUNTIF(G50:L50,"&lt;&gt;" &amp; "")&gt;0,NOT(ISBLANK(E47)))</formula>
    </cfRule>
    <cfRule type="expression" dxfId="596" priority="1">
      <formula>COUNTIF(G50:L50,"&lt;&gt;" &amp; "")&gt;0</formula>
    </cfRule>
  </conditionalFormatting>
  <conditionalFormatting sqref="E50">
    <cfRule type="expression" dxfId="595" priority="119">
      <formula>COUNTIF(G50:L50,"&lt;&gt;" &amp; "")&gt;0</formula>
    </cfRule>
    <cfRule type="expression" dxfId="594" priority="120">
      <formula>AND(COUNTIF(G50:L50,"&lt;&gt;" &amp; "")&gt;0,NOT(ISBLANK(E50)))</formula>
    </cfRule>
  </conditionalFormatting>
  <conditionalFormatting sqref="E53">
    <cfRule type="expression" dxfId="593" priority="121">
      <formula>COUNTIF(G53:L53,"&lt;&gt;" &amp; "")&gt;0</formula>
    </cfRule>
    <cfRule type="expression" dxfId="592" priority="122">
      <formula>AND(COUNTIF(G53:L53,"&lt;&gt;" &amp; "")&gt;0,NOT(ISBLANK(E53)))</formula>
    </cfRule>
  </conditionalFormatting>
  <conditionalFormatting sqref="E56">
    <cfRule type="expression" dxfId="591" priority="123">
      <formula>COUNTIF(G56:L56,"&lt;&gt;" &amp; "")&gt;0</formula>
    </cfRule>
    <cfRule type="expression" dxfId="590" priority="124">
      <formula>AND(COUNTIF(G56:L56,"&lt;&gt;" &amp; "")&gt;0,NOT(ISBLANK(E56)))</formula>
    </cfRule>
  </conditionalFormatting>
  <conditionalFormatting sqref="E59">
    <cfRule type="expression" dxfId="589" priority="125">
      <formula>COUNTIF(G59:L59,"&lt;&gt;" &amp; "")&gt;0</formula>
    </cfRule>
    <cfRule type="expression" dxfId="588" priority="126">
      <formula>AND(COUNTIF(G59:L59,"&lt;&gt;" &amp; "")&gt;0,NOT(ISBLANK(E59)))</formula>
    </cfRule>
  </conditionalFormatting>
  <conditionalFormatting sqref="E80">
    <cfRule type="expression" dxfId="587" priority="81">
      <formula>COUNTIF(G80:L80,"&lt;&gt;" &amp; "")&gt;0</formula>
    </cfRule>
    <cfRule type="expression" dxfId="586" priority="82">
      <formula>AND(COUNTIF(G80:L80,"&lt;&gt;" &amp; "")&gt;0,NOT(ISBLANK(E80)))</formula>
    </cfRule>
  </conditionalFormatting>
  <conditionalFormatting sqref="E83">
    <cfRule type="expression" dxfId="585" priority="83">
      <formula>COUNTIF(G83:L83,"&lt;&gt;" &amp; "")&gt;0</formula>
    </cfRule>
    <cfRule type="expression" dxfId="584" priority="84">
      <formula>AND(COUNTIF(G83:L83,"&lt;&gt;" &amp; "")&gt;0,NOT(ISBLANK(E83)))</formula>
    </cfRule>
  </conditionalFormatting>
  <conditionalFormatting sqref="E95">
    <cfRule type="expression" dxfId="583" priority="9">
      <formula>COUNTIF(G95:L95,"&lt;&gt;" &amp; "")&gt;0</formula>
    </cfRule>
    <cfRule type="expression" dxfId="582" priority="10">
      <formula>AND(COUNTIF(G95:L95,"&lt;&gt;" &amp; "")&gt;0,NOT(ISBLANK(E95)))</formula>
    </cfRule>
  </conditionalFormatting>
  <conditionalFormatting sqref="E98">
    <cfRule type="expression" dxfId="581" priority="12">
      <formula>AND(COUNTIF(G98:L98,"&lt;&gt;" &amp; "")&gt;0,NOT(ISBLANK(E98)))</formula>
    </cfRule>
    <cfRule type="expression" dxfId="580" priority="11">
      <formula>COUNTIF(G98:L98,"&lt;&gt;" &amp; "")&gt;0</formula>
    </cfRule>
  </conditionalFormatting>
  <conditionalFormatting sqref="G2:I2 K2 M2 O2 Q2:AA2">
    <cfRule type="expression" dxfId="579" priority="22">
      <formula>AND(COUNTIF(I2:N2,"&lt;&gt;" &amp; "")&gt;0,NOT(ISBLANK(G2)))</formula>
    </cfRule>
    <cfRule type="expression" dxfId="578" priority="21">
      <formula>COUNTIF(I2:N2,"&lt;&gt;" &amp; "")&gt;0</formula>
    </cfRule>
  </conditionalFormatting>
  <dataValidations count="2">
    <dataValidation type="list" allowBlank="1" showInputMessage="1" showErrorMessage="1" sqref="C11 C77 C74 C71 C68 C65 C62 C59 C56 C53 C50 C44 C47 C41 C26 C23 C17 C14 C20 C2 C5 C8 C38 C35 C32 C29 C98 C95" xr:uid="{00000000-0002-0000-0A00-000000000000}">
      <formula1>"Proportion"</formula1>
    </dataValidation>
    <dataValidation type="list" allowBlank="1" showInputMessage="1" showErrorMessage="1" sqref="C92 C89 C86 C83 C80" xr:uid="{00000000-0002-0000-0A00-000019000000}">
      <formula1>"Number"</formula1>
    </dataValidation>
  </dataValidations>
  <pageMargins left="0.7" right="0.7" top="0.75" bottom="0.75" header="0.3" footer="0.3"/>
  <pageSetup paperSize="9" orientation="portrait"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L35"/>
  <sheetViews>
    <sheetView workbookViewId="0">
      <selection activeCell="I25" sqref="I25"/>
    </sheetView>
  </sheetViews>
  <sheetFormatPr defaultRowHeight="14.5" x14ac:dyDescent="0.35"/>
  <cols>
    <col min="1" max="1" width="95.26953125" customWidth="1"/>
    <col min="2" max="2" width="30.26953125" customWidth="1"/>
    <col min="3" max="3" width="12.7265625" customWidth="1"/>
    <col min="4" max="4" width="13.81640625" customWidth="1"/>
    <col min="5" max="5" width="10.54296875" customWidth="1"/>
    <col min="6" max="6" width="3.81640625" customWidth="1"/>
    <col min="7" max="12" width="9.453125" customWidth="1"/>
  </cols>
  <sheetData>
    <row r="1" spans="1:12" x14ac:dyDescent="0.35">
      <c r="A1" s="1" t="s">
        <v>183</v>
      </c>
      <c r="B1" s="1" t="s">
        <v>28</v>
      </c>
      <c r="C1" s="1" t="s">
        <v>29</v>
      </c>
      <c r="D1" s="1" t="s">
        <v>30</v>
      </c>
      <c r="E1" s="1" t="s">
        <v>31</v>
      </c>
      <c r="F1" s="1"/>
      <c r="G1" s="1">
        <v>2020</v>
      </c>
      <c r="H1" s="1">
        <v>2021</v>
      </c>
      <c r="I1" s="1">
        <v>2022</v>
      </c>
      <c r="J1" s="1">
        <v>2023</v>
      </c>
      <c r="K1" s="1">
        <v>2024</v>
      </c>
      <c r="L1" s="1">
        <v>2025</v>
      </c>
    </row>
    <row r="2" spans="1:12" x14ac:dyDescent="0.35">
      <c r="A2" s="1" t="str">
        <f>'Population Definitions'!$A$13</f>
        <v>rds_hm</v>
      </c>
      <c r="B2" t="s">
        <v>32</v>
      </c>
      <c r="C2" t="s">
        <v>36</v>
      </c>
      <c r="D2" s="3"/>
      <c r="E2" s="3">
        <v>0.5</v>
      </c>
      <c r="F2" s="4" t="s">
        <v>34</v>
      </c>
      <c r="G2" s="3"/>
      <c r="H2" s="3"/>
      <c r="I2" s="3"/>
      <c r="J2" s="3"/>
      <c r="K2" s="3"/>
      <c r="L2" s="3"/>
    </row>
    <row r="4" spans="1:12" x14ac:dyDescent="0.35">
      <c r="A4" s="1" t="s">
        <v>110</v>
      </c>
      <c r="B4" s="1" t="s">
        <v>28</v>
      </c>
      <c r="C4" s="1" t="s">
        <v>29</v>
      </c>
      <c r="D4" s="1" t="s">
        <v>30</v>
      </c>
      <c r="E4" s="1" t="s">
        <v>31</v>
      </c>
      <c r="F4" s="1"/>
      <c r="G4" s="1">
        <v>2020</v>
      </c>
      <c r="H4" s="1">
        <v>2021</v>
      </c>
      <c r="I4" s="1">
        <v>2022</v>
      </c>
      <c r="J4" s="1">
        <v>2023</v>
      </c>
      <c r="K4" s="1">
        <v>2024</v>
      </c>
      <c r="L4" s="1">
        <v>2025</v>
      </c>
    </row>
    <row r="5" spans="1:12" x14ac:dyDescent="0.35">
      <c r="A5" s="1" t="str">
        <f>'Population Definitions'!$A$13</f>
        <v>rds_hm</v>
      </c>
      <c r="B5" t="s">
        <v>32</v>
      </c>
      <c r="C5" t="s">
        <v>36</v>
      </c>
      <c r="D5" s="3"/>
      <c r="E5" s="15">
        <v>0.34200000000000003</v>
      </c>
      <c r="F5" s="4" t="s">
        <v>34</v>
      </c>
      <c r="G5" s="15"/>
      <c r="H5" s="3"/>
      <c r="I5" s="3"/>
      <c r="J5" s="3"/>
      <c r="K5" s="3"/>
      <c r="L5" s="3"/>
    </row>
    <row r="7" spans="1:12" x14ac:dyDescent="0.35">
      <c r="A7" s="1" t="s">
        <v>111</v>
      </c>
      <c r="B7" s="1" t="s">
        <v>28</v>
      </c>
      <c r="C7" s="1" t="s">
        <v>29</v>
      </c>
      <c r="D7" s="1" t="s">
        <v>30</v>
      </c>
      <c r="E7" s="1" t="s">
        <v>31</v>
      </c>
      <c r="F7" s="1"/>
      <c r="G7" s="1">
        <v>2020</v>
      </c>
      <c r="H7" s="1">
        <v>2021</v>
      </c>
      <c r="I7" s="1">
        <v>2022</v>
      </c>
      <c r="J7" s="1">
        <v>2023</v>
      </c>
      <c r="K7" s="1">
        <v>2024</v>
      </c>
      <c r="L7" s="1">
        <v>2025</v>
      </c>
    </row>
    <row r="8" spans="1:12" x14ac:dyDescent="0.35">
      <c r="A8" s="1" t="str">
        <f>'Population Definitions'!$A$13</f>
        <v>rds_hm</v>
      </c>
      <c r="B8" t="s">
        <v>32</v>
      </c>
      <c r="C8" t="s">
        <v>36</v>
      </c>
      <c r="D8" s="3"/>
      <c r="E8" s="3">
        <v>0</v>
      </c>
      <c r="F8" s="4" t="s">
        <v>34</v>
      </c>
      <c r="G8" s="3"/>
      <c r="H8" s="3"/>
      <c r="I8" s="3"/>
      <c r="J8" s="3"/>
      <c r="K8" s="3"/>
      <c r="L8" s="3"/>
    </row>
    <row r="10" spans="1:12" x14ac:dyDescent="0.35">
      <c r="A10" s="1" t="s">
        <v>112</v>
      </c>
      <c r="B10" s="1" t="s">
        <v>28</v>
      </c>
      <c r="C10" s="1" t="s">
        <v>29</v>
      </c>
      <c r="D10" s="1" t="s">
        <v>30</v>
      </c>
      <c r="E10" s="1" t="s">
        <v>31</v>
      </c>
      <c r="F10" s="1"/>
      <c r="G10" s="1">
        <v>2020</v>
      </c>
      <c r="H10" s="1">
        <v>2021</v>
      </c>
      <c r="I10" s="1">
        <v>2022</v>
      </c>
      <c r="J10" s="1">
        <v>2023</v>
      </c>
      <c r="K10" s="1">
        <v>2024</v>
      </c>
      <c r="L10" s="1">
        <v>2025</v>
      </c>
    </row>
    <row r="11" spans="1:12" x14ac:dyDescent="0.35">
      <c r="A11" s="1" t="str">
        <f>'Population Definitions'!$A$13</f>
        <v>rds_hm</v>
      </c>
      <c r="B11" t="s">
        <v>32</v>
      </c>
      <c r="C11" t="s">
        <v>36</v>
      </c>
      <c r="D11" s="3"/>
      <c r="E11" s="3">
        <f>E5</f>
        <v>0.34200000000000003</v>
      </c>
      <c r="F11" s="4" t="s">
        <v>34</v>
      </c>
      <c r="G11" s="15"/>
      <c r="H11" s="3"/>
      <c r="I11" s="3"/>
      <c r="J11" s="3"/>
      <c r="K11" s="3"/>
      <c r="L11" s="3"/>
    </row>
    <row r="13" spans="1:12" x14ac:dyDescent="0.35">
      <c r="A13" s="1" t="s">
        <v>113</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Definitions'!$A$13</f>
        <v>rds_hm</v>
      </c>
      <c r="B14" t="s">
        <v>32</v>
      </c>
      <c r="C14" t="s">
        <v>36</v>
      </c>
      <c r="D14" s="3"/>
      <c r="E14" s="3">
        <f>E5</f>
        <v>0.34200000000000003</v>
      </c>
      <c r="F14" s="4" t="s">
        <v>34</v>
      </c>
      <c r="G14" s="3"/>
      <c r="H14" s="3"/>
      <c r="I14" s="3"/>
      <c r="J14" s="3"/>
      <c r="K14" s="3"/>
      <c r="L14" s="3"/>
    </row>
    <row r="16" spans="1:12" x14ac:dyDescent="0.35">
      <c r="A16" s="1" t="s">
        <v>114</v>
      </c>
      <c r="B16" s="1" t="s">
        <v>28</v>
      </c>
      <c r="C16" s="1" t="s">
        <v>29</v>
      </c>
      <c r="D16" s="1" t="s">
        <v>30</v>
      </c>
      <c r="E16" s="1" t="s">
        <v>31</v>
      </c>
      <c r="F16" s="1"/>
      <c r="G16" s="1">
        <v>2020</v>
      </c>
      <c r="H16" s="1">
        <v>2021</v>
      </c>
      <c r="I16" s="1">
        <v>2022</v>
      </c>
      <c r="J16" s="1">
        <v>2023</v>
      </c>
      <c r="K16" s="1">
        <v>2024</v>
      </c>
      <c r="L16" s="1">
        <v>2025</v>
      </c>
    </row>
    <row r="17" spans="1:12" x14ac:dyDescent="0.35">
      <c r="A17" s="1" t="str">
        <f>'Population Definitions'!$A$13</f>
        <v>rds_hm</v>
      </c>
      <c r="B17" t="s">
        <v>32</v>
      </c>
      <c r="C17" t="s">
        <v>36</v>
      </c>
      <c r="D17" s="3"/>
      <c r="E17" s="13">
        <v>0.1</v>
      </c>
      <c r="F17" s="4" t="s">
        <v>34</v>
      </c>
      <c r="G17" s="3"/>
      <c r="H17" s="3"/>
      <c r="I17" s="3"/>
      <c r="J17" s="3"/>
      <c r="K17" s="3"/>
      <c r="L17" s="3"/>
    </row>
    <row r="19" spans="1:12" x14ac:dyDescent="0.35">
      <c r="A19" s="1" t="s">
        <v>115</v>
      </c>
      <c r="B19" s="1" t="s">
        <v>28</v>
      </c>
      <c r="C19" s="1" t="s">
        <v>29</v>
      </c>
      <c r="D19" s="1" t="s">
        <v>30</v>
      </c>
      <c r="E19" s="1" t="s">
        <v>31</v>
      </c>
      <c r="F19" s="1"/>
      <c r="G19" s="1">
        <v>2020</v>
      </c>
      <c r="H19" s="1">
        <v>2021</v>
      </c>
      <c r="I19" s="1">
        <v>2022</v>
      </c>
      <c r="J19" s="1">
        <v>2023</v>
      </c>
      <c r="K19" s="1">
        <v>2024</v>
      </c>
      <c r="L19" s="1">
        <v>2025</v>
      </c>
    </row>
    <row r="20" spans="1:12" x14ac:dyDescent="0.35">
      <c r="A20" s="1" t="str">
        <f>'Population Definitions'!$A$13</f>
        <v>rds_hm</v>
      </c>
      <c r="B20" t="s">
        <v>368</v>
      </c>
      <c r="C20" t="s">
        <v>36</v>
      </c>
      <c r="D20" s="3"/>
      <c r="E20" s="19">
        <v>0.81</v>
      </c>
      <c r="F20" s="4" t="s">
        <v>34</v>
      </c>
      <c r="G20" s="15"/>
      <c r="H20" s="3"/>
      <c r="I20" s="3"/>
      <c r="J20" s="3"/>
      <c r="K20" s="3"/>
      <c r="L20" s="3"/>
    </row>
    <row r="22" spans="1:12" x14ac:dyDescent="0.35">
      <c r="A22" s="1" t="s">
        <v>116</v>
      </c>
      <c r="B22" s="1" t="s">
        <v>28</v>
      </c>
      <c r="C22" s="1" t="s">
        <v>29</v>
      </c>
      <c r="D22" s="1" t="s">
        <v>30</v>
      </c>
      <c r="E22" s="1" t="s">
        <v>31</v>
      </c>
      <c r="F22" s="1"/>
      <c r="G22" s="1">
        <v>2020</v>
      </c>
      <c r="H22" s="1">
        <v>2021</v>
      </c>
      <c r="I22" s="1">
        <v>2022</v>
      </c>
      <c r="J22" s="1">
        <v>2023</v>
      </c>
      <c r="K22" s="1">
        <v>2024</v>
      </c>
      <c r="L22" s="1">
        <v>2025</v>
      </c>
    </row>
    <row r="23" spans="1:12" x14ac:dyDescent="0.35">
      <c r="A23" s="1" t="str">
        <f>'Population Definitions'!$A$13</f>
        <v>rds_hm</v>
      </c>
      <c r="B23" t="s">
        <v>368</v>
      </c>
      <c r="C23" t="s">
        <v>36</v>
      </c>
      <c r="D23" s="3"/>
      <c r="E23" s="19">
        <v>1</v>
      </c>
      <c r="F23" s="4" t="s">
        <v>34</v>
      </c>
      <c r="G23" s="15"/>
      <c r="H23" s="3"/>
      <c r="I23" s="3"/>
      <c r="J23" s="3"/>
      <c r="K23" s="3"/>
      <c r="L23" s="3"/>
    </row>
    <row r="25" spans="1:12" x14ac:dyDescent="0.35">
      <c r="A25" s="1" t="s">
        <v>227</v>
      </c>
      <c r="B25" s="1" t="s">
        <v>28</v>
      </c>
      <c r="C25" s="1" t="s">
        <v>29</v>
      </c>
      <c r="D25" s="1" t="s">
        <v>30</v>
      </c>
      <c r="E25" s="1" t="s">
        <v>31</v>
      </c>
      <c r="F25" s="1"/>
      <c r="G25" s="1">
        <v>2020</v>
      </c>
      <c r="H25" s="1">
        <v>2021</v>
      </c>
      <c r="I25" s="1">
        <v>2022</v>
      </c>
      <c r="J25" s="1">
        <v>2023</v>
      </c>
      <c r="K25" s="1">
        <v>2024</v>
      </c>
      <c r="L25" s="1">
        <v>2025</v>
      </c>
    </row>
    <row r="26" spans="1:12" x14ac:dyDescent="0.35">
      <c r="A26" s="1" t="str">
        <f>'Population Definitions'!$A$13</f>
        <v>rds_hm</v>
      </c>
      <c r="B26" t="s">
        <v>32</v>
      </c>
      <c r="C26" t="s">
        <v>36</v>
      </c>
      <c r="D26" s="3"/>
      <c r="E26" s="20">
        <v>0.376</v>
      </c>
      <c r="F26" s="4" t="s">
        <v>34</v>
      </c>
      <c r="G26" s="15"/>
      <c r="H26" s="3"/>
      <c r="I26" s="3"/>
      <c r="J26" s="3"/>
      <c r="K26" s="3"/>
      <c r="L26" s="3"/>
    </row>
    <row r="28" spans="1:12" x14ac:dyDescent="0.35">
      <c r="A28" s="1" t="s">
        <v>117</v>
      </c>
      <c r="B28" s="1" t="s">
        <v>28</v>
      </c>
      <c r="C28" s="1" t="s">
        <v>29</v>
      </c>
      <c r="D28" s="1" t="s">
        <v>30</v>
      </c>
      <c r="E28" s="1" t="s">
        <v>31</v>
      </c>
      <c r="F28" s="1"/>
      <c r="G28" s="1">
        <v>2020</v>
      </c>
      <c r="H28" s="1">
        <v>2021</v>
      </c>
      <c r="I28" s="1">
        <v>2022</v>
      </c>
      <c r="J28" s="1">
        <v>2023</v>
      </c>
      <c r="K28" s="1">
        <v>2024</v>
      </c>
      <c r="L28" s="1">
        <v>2025</v>
      </c>
    </row>
    <row r="29" spans="1:12" x14ac:dyDescent="0.35">
      <c r="A29" s="1" t="str">
        <f>'Population Definitions'!$A$13</f>
        <v>rds_hm</v>
      </c>
      <c r="B29" t="s">
        <v>32</v>
      </c>
      <c r="C29" t="s">
        <v>36</v>
      </c>
      <c r="D29" s="3"/>
      <c r="E29" s="3">
        <v>0</v>
      </c>
      <c r="F29" s="4" t="s">
        <v>34</v>
      </c>
      <c r="G29" s="3"/>
      <c r="H29" s="3"/>
      <c r="I29" s="3"/>
      <c r="J29" s="3"/>
      <c r="K29" s="3"/>
      <c r="L29" s="3"/>
    </row>
    <row r="31" spans="1:12" x14ac:dyDescent="0.35">
      <c r="A31" s="1" t="s">
        <v>119</v>
      </c>
      <c r="B31" s="1" t="s">
        <v>28</v>
      </c>
      <c r="C31" s="1" t="s">
        <v>29</v>
      </c>
      <c r="D31" s="1" t="s">
        <v>30</v>
      </c>
      <c r="E31" s="1" t="s">
        <v>31</v>
      </c>
      <c r="F31" s="1"/>
      <c r="G31" s="1">
        <v>2020</v>
      </c>
      <c r="H31" s="1">
        <v>2021</v>
      </c>
      <c r="I31" s="1">
        <v>2022</v>
      </c>
      <c r="J31" s="1">
        <v>2023</v>
      </c>
      <c r="K31" s="1">
        <v>2024</v>
      </c>
      <c r="L31" s="1">
        <v>2025</v>
      </c>
    </row>
    <row r="32" spans="1:12" x14ac:dyDescent="0.35">
      <c r="A32" s="1" t="str">
        <f>'Population Definitions'!$A$13</f>
        <v>rds_hm</v>
      </c>
      <c r="B32" t="s">
        <v>32</v>
      </c>
      <c r="C32" t="s">
        <v>36</v>
      </c>
      <c r="D32" s="3"/>
      <c r="E32" s="20">
        <v>0.92200000000000004</v>
      </c>
      <c r="F32" s="4" t="s">
        <v>34</v>
      </c>
      <c r="G32" s="15"/>
      <c r="H32" s="3"/>
      <c r="I32" s="3"/>
      <c r="J32" s="3"/>
      <c r="K32" s="3"/>
      <c r="L32" s="3"/>
    </row>
    <row r="34" spans="1:12" x14ac:dyDescent="0.35">
      <c r="A34" s="1" t="s">
        <v>185</v>
      </c>
      <c r="B34" s="1" t="s">
        <v>28</v>
      </c>
      <c r="C34" s="1" t="s">
        <v>29</v>
      </c>
      <c r="D34" s="1" t="s">
        <v>30</v>
      </c>
      <c r="E34" s="1" t="s">
        <v>31</v>
      </c>
      <c r="F34" s="1"/>
      <c r="G34" s="1">
        <v>2020</v>
      </c>
      <c r="H34" s="1">
        <v>2021</v>
      </c>
      <c r="I34" s="1">
        <v>2022</v>
      </c>
      <c r="J34" s="1">
        <v>2023</v>
      </c>
      <c r="K34" s="1">
        <v>2024</v>
      </c>
      <c r="L34" s="1">
        <v>2025</v>
      </c>
    </row>
    <row r="35" spans="1:12" x14ac:dyDescent="0.35">
      <c r="A35" s="1" t="str">
        <f>'Population Definitions'!$A$13</f>
        <v>rds_hm</v>
      </c>
      <c r="B35" t="s">
        <v>32</v>
      </c>
      <c r="C35" t="s">
        <v>64</v>
      </c>
      <c r="D35" s="3"/>
      <c r="E35" s="15">
        <v>0.17499999999999999</v>
      </c>
      <c r="F35" s="4" t="s">
        <v>34</v>
      </c>
      <c r="G35" s="3"/>
      <c r="H35" s="3"/>
      <c r="I35" s="3"/>
      <c r="J35" s="3"/>
      <c r="K35" s="3"/>
      <c r="L35" s="3"/>
    </row>
  </sheetData>
  <conditionalFormatting sqref="E2">
    <cfRule type="expression" dxfId="577" priority="11">
      <formula>COUNTIF(G2:L2,"&lt;&gt;" &amp; "")&gt;0</formula>
    </cfRule>
    <cfRule type="expression" dxfId="576" priority="12">
      <formula>AND(COUNTIF(G2:L2,"&lt;&gt;" &amp; "")&gt;0,NOT(ISBLANK(E2)))</formula>
    </cfRule>
  </conditionalFormatting>
  <conditionalFormatting sqref="E8">
    <cfRule type="expression" dxfId="575" priority="21">
      <formula>COUNTIF(G8:L8,"&lt;&gt;" &amp; "")&gt;0</formula>
    </cfRule>
    <cfRule type="expression" dxfId="574" priority="22">
      <formula>AND(COUNTIF(G8:L8,"&lt;&gt;" &amp; "")&gt;0,NOT(ISBLANK(E8)))</formula>
    </cfRule>
  </conditionalFormatting>
  <conditionalFormatting sqref="E11">
    <cfRule type="expression" dxfId="573" priority="17">
      <formula>COUNTIF(G11:L11,"&lt;&gt;" &amp; "")&gt;0</formula>
    </cfRule>
    <cfRule type="expression" dxfId="572" priority="18">
      <formula>AND(COUNTIF(G11:L11,"&lt;&gt;" &amp; "")&gt;0,NOT(ISBLANK(E11)))</formula>
    </cfRule>
  </conditionalFormatting>
  <conditionalFormatting sqref="E14">
    <cfRule type="expression" dxfId="571" priority="15">
      <formula>COUNTIF(G14:L14,"&lt;&gt;" &amp; "")&gt;0</formula>
    </cfRule>
    <cfRule type="expression" dxfId="570" priority="16">
      <formula>AND(COUNTIF(G14:L14,"&lt;&gt;" &amp; "")&gt;0,NOT(ISBLANK(E14)))</formula>
    </cfRule>
  </conditionalFormatting>
  <conditionalFormatting sqref="E17">
    <cfRule type="expression" dxfId="569" priority="27">
      <formula>COUNTIF(G17:L17,"&lt;&gt;" &amp; "")&gt;0</formula>
    </cfRule>
    <cfRule type="expression" dxfId="568" priority="28">
      <formula>AND(COUNTIF(G17:L17,"&lt;&gt;" &amp; "")&gt;0,NOT(ISBLANK(E17)))</formula>
    </cfRule>
  </conditionalFormatting>
  <conditionalFormatting sqref="E29">
    <cfRule type="expression" dxfId="567" priority="7">
      <formula>COUNTIF(G29:L29,"&lt;&gt;" &amp; "")&gt;0</formula>
    </cfRule>
    <cfRule type="expression" dxfId="566" priority="8">
      <formula>AND(COUNTIF(G29:L29,"&lt;&gt;" &amp; "")&gt;0,NOT(ISBLANK(E29)))</formula>
    </cfRule>
  </conditionalFormatting>
  <dataValidations count="1">
    <dataValidation type="list" allowBlank="1" showInputMessage="1" showErrorMessage="1" sqref="C5 C32 C26 C23 C20 C17 C14 C11 C8 C2 C29" xr:uid="{00000000-0002-0000-0B00-000000000000}">
      <formula1>"Proportion"</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L119"/>
  <sheetViews>
    <sheetView topLeftCell="A94" workbookViewId="0">
      <selection activeCell="E88" sqref="E88"/>
    </sheetView>
  </sheetViews>
  <sheetFormatPr defaultRowHeight="14.5" x14ac:dyDescent="0.35"/>
  <cols>
    <col min="1" max="1" width="110.1796875" customWidth="1"/>
    <col min="2" max="2" width="30.26953125" customWidth="1"/>
    <col min="3" max="3" width="12.7265625" customWidth="1"/>
    <col min="4" max="4" width="13.81640625" customWidth="1"/>
    <col min="5" max="5" width="10.54296875" customWidth="1"/>
    <col min="6" max="6" width="3.81640625" customWidth="1"/>
    <col min="7" max="12" width="9.453125" customWidth="1"/>
    <col min="14" max="14" width="12" bestFit="1" customWidth="1"/>
  </cols>
  <sheetData>
    <row r="1" spans="1:12" x14ac:dyDescent="0.35">
      <c r="A1" s="1" t="s">
        <v>120</v>
      </c>
      <c r="B1" s="1" t="s">
        <v>28</v>
      </c>
      <c r="C1" s="1" t="s">
        <v>29</v>
      </c>
      <c r="D1" s="1" t="s">
        <v>30</v>
      </c>
      <c r="E1" s="1" t="s">
        <v>31</v>
      </c>
      <c r="F1" s="1"/>
      <c r="G1" s="1">
        <v>2020</v>
      </c>
      <c r="H1" s="1">
        <v>2021</v>
      </c>
      <c r="I1" s="1">
        <v>2022</v>
      </c>
      <c r="J1" s="1">
        <v>2023</v>
      </c>
      <c r="K1" s="1">
        <v>2024</v>
      </c>
      <c r="L1" s="1">
        <v>2025</v>
      </c>
    </row>
    <row r="2" spans="1:12" x14ac:dyDescent="0.35">
      <c r="A2" s="1" t="str">
        <f>'Population Definitions'!$A$14</f>
        <v>wasting_hm</v>
      </c>
      <c r="B2" t="s">
        <v>32</v>
      </c>
      <c r="C2" t="s">
        <v>36</v>
      </c>
      <c r="D2" s="3"/>
      <c r="E2" s="3">
        <v>1.28571428571428E-2</v>
      </c>
      <c r="F2" s="4" t="s">
        <v>34</v>
      </c>
      <c r="G2" s="3"/>
      <c r="H2" s="3"/>
      <c r="I2" s="3"/>
      <c r="J2" s="3"/>
      <c r="K2" s="3"/>
      <c r="L2" s="3"/>
    </row>
    <row r="4" spans="1:12" x14ac:dyDescent="0.35">
      <c r="A4" s="1" t="s">
        <v>121</v>
      </c>
      <c r="B4" s="1" t="s">
        <v>28</v>
      </c>
      <c r="C4" s="1" t="s">
        <v>29</v>
      </c>
      <c r="D4" s="1" t="s">
        <v>30</v>
      </c>
      <c r="E4" s="1" t="s">
        <v>31</v>
      </c>
      <c r="F4" s="1"/>
      <c r="G4" s="1">
        <v>2020</v>
      </c>
      <c r="H4" s="1">
        <v>2021</v>
      </c>
      <c r="I4" s="1">
        <v>2022</v>
      </c>
      <c r="J4" s="1">
        <v>2023</v>
      </c>
      <c r="K4" s="1">
        <v>2024</v>
      </c>
      <c r="L4" s="1">
        <v>2025</v>
      </c>
    </row>
    <row r="5" spans="1:12" x14ac:dyDescent="0.35">
      <c r="A5" s="1" t="str">
        <f>'Population Definitions'!$A$14</f>
        <v>wasting_hm</v>
      </c>
      <c r="B5" t="s">
        <v>32</v>
      </c>
      <c r="C5" t="s">
        <v>36</v>
      </c>
      <c r="D5" s="3"/>
      <c r="E5" s="3">
        <v>3.7142857142857102E-2</v>
      </c>
      <c r="F5" s="4" t="s">
        <v>34</v>
      </c>
      <c r="G5" s="3"/>
      <c r="H5" s="3"/>
      <c r="I5" s="3"/>
      <c r="J5" s="3"/>
      <c r="K5" s="3"/>
      <c r="L5" s="3"/>
    </row>
    <row r="7" spans="1:12" x14ac:dyDescent="0.35">
      <c r="A7" s="1" t="s">
        <v>122</v>
      </c>
      <c r="B7" s="1" t="s">
        <v>28</v>
      </c>
      <c r="C7" s="1" t="s">
        <v>29</v>
      </c>
      <c r="D7" s="1" t="s">
        <v>30</v>
      </c>
      <c r="E7" s="1" t="s">
        <v>31</v>
      </c>
      <c r="F7" s="1"/>
      <c r="G7" s="1">
        <v>2020</v>
      </c>
      <c r="H7" s="1">
        <v>2021</v>
      </c>
      <c r="I7" s="1">
        <v>2022</v>
      </c>
      <c r="J7" s="1">
        <v>2023</v>
      </c>
      <c r="K7" s="1">
        <v>2024</v>
      </c>
      <c r="L7" s="1">
        <v>2025</v>
      </c>
    </row>
    <row r="8" spans="1:12" x14ac:dyDescent="0.35">
      <c r="A8" s="1" t="str">
        <f>'Population Definitions'!$A$14</f>
        <v>wasting_hm</v>
      </c>
      <c r="C8" t="s">
        <v>36</v>
      </c>
      <c r="D8" s="3"/>
      <c r="E8" s="3">
        <v>2.5000000000000001E-3</v>
      </c>
      <c r="F8" s="4" t="s">
        <v>34</v>
      </c>
      <c r="G8" s="2"/>
      <c r="H8" s="2"/>
      <c r="I8" s="2"/>
      <c r="J8" s="2"/>
      <c r="K8" s="2"/>
      <c r="L8" s="2"/>
    </row>
    <row r="10" spans="1:12" x14ac:dyDescent="0.35">
      <c r="A10" s="1" t="s">
        <v>123</v>
      </c>
      <c r="B10" s="1" t="s">
        <v>28</v>
      </c>
      <c r="C10" s="1" t="s">
        <v>29</v>
      </c>
      <c r="D10" s="1" t="s">
        <v>30</v>
      </c>
      <c r="E10" s="1" t="s">
        <v>31</v>
      </c>
      <c r="F10" s="1"/>
      <c r="G10" s="1">
        <v>2020</v>
      </c>
      <c r="H10" s="1">
        <v>2021</v>
      </c>
      <c r="I10" s="1">
        <v>2022</v>
      </c>
      <c r="J10" s="1">
        <v>2023</v>
      </c>
      <c r="K10" s="1">
        <v>2024</v>
      </c>
      <c r="L10" s="1">
        <v>2025</v>
      </c>
    </row>
    <row r="11" spans="1:12" x14ac:dyDescent="0.35">
      <c r="A11" s="1" t="str">
        <f>'Population Definitions'!$A$14</f>
        <v>wasting_hm</v>
      </c>
      <c r="C11" t="s">
        <v>36</v>
      </c>
      <c r="D11" s="3"/>
      <c r="E11" s="3">
        <v>1.125E-2</v>
      </c>
      <c r="F11" s="4" t="s">
        <v>34</v>
      </c>
      <c r="G11" s="2"/>
      <c r="H11" s="2"/>
      <c r="I11" s="2"/>
      <c r="J11" s="2"/>
      <c r="K11" s="2"/>
      <c r="L11" s="2"/>
    </row>
    <row r="13" spans="1:12" x14ac:dyDescent="0.35">
      <c r="A13" s="1" t="s">
        <v>124</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Definitions'!$A$14</f>
        <v>wasting_hm</v>
      </c>
      <c r="B14" t="s">
        <v>32</v>
      </c>
      <c r="C14" t="s">
        <v>36</v>
      </c>
      <c r="D14" s="3"/>
      <c r="E14" s="3">
        <v>1.5</v>
      </c>
      <c r="F14" s="4" t="s">
        <v>34</v>
      </c>
      <c r="G14" s="3"/>
      <c r="H14" s="3"/>
      <c r="I14" s="3"/>
      <c r="J14" s="3"/>
      <c r="K14" s="3"/>
      <c r="L14" s="3"/>
    </row>
    <row r="16" spans="1:12" x14ac:dyDescent="0.35">
      <c r="A16" s="1" t="s">
        <v>125</v>
      </c>
      <c r="B16" s="1" t="s">
        <v>28</v>
      </c>
      <c r="C16" s="1" t="s">
        <v>29</v>
      </c>
      <c r="D16" s="1" t="s">
        <v>30</v>
      </c>
      <c r="E16" s="1" t="s">
        <v>31</v>
      </c>
      <c r="F16" s="1"/>
      <c r="G16" s="1">
        <v>2020</v>
      </c>
      <c r="H16" s="1">
        <v>2021</v>
      </c>
      <c r="I16" s="1">
        <v>2022</v>
      </c>
      <c r="J16" s="1">
        <v>2023</v>
      </c>
      <c r="K16" s="1">
        <v>2024</v>
      </c>
      <c r="L16" s="1">
        <v>2025</v>
      </c>
    </row>
    <row r="17" spans="1:12" x14ac:dyDescent="0.35">
      <c r="A17" s="1" t="str">
        <f>'Population Definitions'!$A$14</f>
        <v>wasting_hm</v>
      </c>
      <c r="B17" t="s">
        <v>32</v>
      </c>
      <c r="C17" t="s">
        <v>36</v>
      </c>
      <c r="D17" s="3"/>
      <c r="E17" s="3">
        <v>2.36</v>
      </c>
      <c r="F17" s="4" t="s">
        <v>34</v>
      </c>
      <c r="G17" s="3"/>
      <c r="H17" s="3"/>
      <c r="I17" s="3"/>
      <c r="J17" s="3"/>
      <c r="K17" s="3"/>
      <c r="L17" s="3"/>
    </row>
    <row r="19" spans="1:12" x14ac:dyDescent="0.35">
      <c r="A19" s="1" t="s">
        <v>126</v>
      </c>
      <c r="B19" s="1" t="s">
        <v>28</v>
      </c>
      <c r="C19" s="1" t="s">
        <v>29</v>
      </c>
      <c r="D19" s="1" t="s">
        <v>30</v>
      </c>
      <c r="E19" s="1" t="s">
        <v>31</v>
      </c>
      <c r="F19" s="1"/>
      <c r="G19" s="1">
        <v>2020</v>
      </c>
      <c r="H19" s="1">
        <v>2021</v>
      </c>
      <c r="I19" s="1">
        <v>2022</v>
      </c>
      <c r="J19" s="1">
        <v>2023</v>
      </c>
      <c r="K19" s="1">
        <v>2024</v>
      </c>
      <c r="L19" s="1">
        <v>2025</v>
      </c>
    </row>
    <row r="20" spans="1:12" x14ac:dyDescent="0.35">
      <c r="A20" s="1" t="str">
        <f>'Population Definitions'!$A$14</f>
        <v>wasting_hm</v>
      </c>
      <c r="B20" t="s">
        <v>32</v>
      </c>
      <c r="C20" t="s">
        <v>36</v>
      </c>
      <c r="D20" s="3"/>
      <c r="E20" s="3">
        <v>1.55</v>
      </c>
      <c r="F20" s="4" t="s">
        <v>34</v>
      </c>
      <c r="G20" s="3"/>
      <c r="H20" s="3"/>
      <c r="I20" s="3"/>
      <c r="J20" s="3"/>
      <c r="K20" s="3"/>
      <c r="L20" s="3"/>
    </row>
    <row r="22" spans="1:12" x14ac:dyDescent="0.35">
      <c r="A22" s="1" t="s">
        <v>127</v>
      </c>
      <c r="B22" s="1" t="s">
        <v>28</v>
      </c>
      <c r="C22" s="1" t="s">
        <v>29</v>
      </c>
      <c r="D22" s="1" t="s">
        <v>30</v>
      </c>
      <c r="E22" s="1" t="s">
        <v>31</v>
      </c>
      <c r="F22" s="1"/>
      <c r="G22" s="1">
        <v>2020</v>
      </c>
      <c r="H22" s="1">
        <v>2021</v>
      </c>
      <c r="I22" s="1">
        <v>2022</v>
      </c>
      <c r="J22" s="1">
        <v>2023</v>
      </c>
      <c r="K22" s="1">
        <v>2024</v>
      </c>
      <c r="L22" s="1">
        <v>2025</v>
      </c>
    </row>
    <row r="23" spans="1:12" x14ac:dyDescent="0.35">
      <c r="A23" s="1" t="str">
        <f>'Population Definitions'!$A$14</f>
        <v>wasting_hm</v>
      </c>
      <c r="B23" t="s">
        <v>32</v>
      </c>
      <c r="C23" t="s">
        <v>36</v>
      </c>
      <c r="D23" s="3"/>
      <c r="E23" s="3">
        <v>2.36</v>
      </c>
      <c r="F23" s="4" t="s">
        <v>34</v>
      </c>
      <c r="G23" s="3"/>
      <c r="H23" s="3"/>
      <c r="I23" s="3"/>
      <c r="J23" s="3"/>
      <c r="K23" s="3"/>
      <c r="L23" s="3"/>
    </row>
    <row r="25" spans="1:12" x14ac:dyDescent="0.35">
      <c r="A25" s="1" t="s">
        <v>128</v>
      </c>
      <c r="B25" s="1" t="s">
        <v>28</v>
      </c>
      <c r="C25" s="1" t="s">
        <v>29</v>
      </c>
      <c r="D25" s="1" t="s">
        <v>30</v>
      </c>
      <c r="E25" s="1" t="s">
        <v>31</v>
      </c>
      <c r="F25" s="1"/>
      <c r="G25" s="1">
        <v>2020</v>
      </c>
      <c r="H25" s="1">
        <v>2021</v>
      </c>
      <c r="I25" s="1">
        <v>2022</v>
      </c>
      <c r="J25" s="1">
        <v>2023</v>
      </c>
      <c r="K25" s="1">
        <v>2024</v>
      </c>
      <c r="L25" s="1">
        <v>2025</v>
      </c>
    </row>
    <row r="26" spans="1:12" x14ac:dyDescent="0.35">
      <c r="A26" s="1" t="str">
        <f>'Population Definitions'!$A$14</f>
        <v>wasting_hm</v>
      </c>
      <c r="B26" t="s">
        <v>32</v>
      </c>
      <c r="C26" t="s">
        <v>36</v>
      </c>
      <c r="D26" s="3"/>
      <c r="E26" s="3">
        <v>0</v>
      </c>
      <c r="F26" s="4" t="s">
        <v>34</v>
      </c>
      <c r="G26" s="3"/>
      <c r="H26" s="3"/>
      <c r="I26" s="3"/>
      <c r="J26" s="3"/>
      <c r="K26" s="3"/>
      <c r="L26" s="3"/>
    </row>
    <row r="28" spans="1:12" x14ac:dyDescent="0.35">
      <c r="A28" s="1" t="s">
        <v>280</v>
      </c>
      <c r="B28" s="1" t="s">
        <v>28</v>
      </c>
      <c r="C28" s="1" t="s">
        <v>29</v>
      </c>
      <c r="D28" s="1" t="s">
        <v>30</v>
      </c>
      <c r="E28" s="1" t="s">
        <v>31</v>
      </c>
      <c r="F28" s="1"/>
      <c r="G28" s="1">
        <v>2020</v>
      </c>
      <c r="H28" s="1">
        <v>2021</v>
      </c>
      <c r="I28" s="1">
        <v>2022</v>
      </c>
      <c r="J28" s="1">
        <v>2023</v>
      </c>
      <c r="K28" s="1">
        <v>2024</v>
      </c>
      <c r="L28" s="1">
        <v>2025</v>
      </c>
    </row>
    <row r="29" spans="1:12" x14ac:dyDescent="0.35">
      <c r="A29" s="1" t="str">
        <f>'Population Definitions'!$A$14</f>
        <v>wasting_hm</v>
      </c>
      <c r="B29" t="s">
        <v>32</v>
      </c>
      <c r="C29" t="s">
        <v>36</v>
      </c>
      <c r="D29" s="3"/>
      <c r="E29" s="3">
        <v>0</v>
      </c>
      <c r="F29" s="4" t="s">
        <v>34</v>
      </c>
      <c r="G29" s="3"/>
      <c r="H29" s="3"/>
      <c r="I29" s="3"/>
      <c r="J29" s="3"/>
      <c r="K29" s="3"/>
      <c r="L29" s="3"/>
    </row>
    <row r="31" spans="1:12" x14ac:dyDescent="0.35">
      <c r="A31" s="1" t="s">
        <v>281</v>
      </c>
      <c r="B31" s="1" t="s">
        <v>28</v>
      </c>
      <c r="C31" s="1" t="s">
        <v>29</v>
      </c>
      <c r="D31" s="1" t="s">
        <v>30</v>
      </c>
      <c r="E31" s="1" t="s">
        <v>31</v>
      </c>
      <c r="F31" s="1"/>
      <c r="G31" s="1">
        <v>2020</v>
      </c>
      <c r="H31" s="1">
        <v>2021</v>
      </c>
      <c r="I31" s="1">
        <v>2022</v>
      </c>
      <c r="J31" s="1">
        <v>2023</v>
      </c>
      <c r="K31" s="1">
        <v>2024</v>
      </c>
      <c r="L31" s="1">
        <v>2025</v>
      </c>
    </row>
    <row r="32" spans="1:12" x14ac:dyDescent="0.35">
      <c r="A32" s="1" t="str">
        <f>'Population Definitions'!$A$14</f>
        <v>wasting_hm</v>
      </c>
      <c r="B32" t="s">
        <v>32</v>
      </c>
      <c r="C32" t="s">
        <v>36</v>
      </c>
      <c r="D32" s="3"/>
      <c r="E32" s="3">
        <v>0</v>
      </c>
      <c r="F32" s="4" t="s">
        <v>34</v>
      </c>
      <c r="G32" s="3"/>
      <c r="H32" s="3"/>
      <c r="I32" s="3"/>
      <c r="J32" s="3"/>
      <c r="K32" s="3"/>
      <c r="L32" s="3"/>
    </row>
    <row r="34" spans="1:12" x14ac:dyDescent="0.35">
      <c r="A34" s="1" t="s">
        <v>282</v>
      </c>
      <c r="B34" s="1" t="s">
        <v>28</v>
      </c>
      <c r="C34" s="1" t="s">
        <v>29</v>
      </c>
      <c r="D34" s="1" t="s">
        <v>30</v>
      </c>
      <c r="E34" s="1" t="s">
        <v>31</v>
      </c>
      <c r="F34" s="1"/>
      <c r="G34" s="1">
        <v>2020</v>
      </c>
      <c r="H34" s="1">
        <v>2021</v>
      </c>
      <c r="I34" s="1">
        <v>2022</v>
      </c>
      <c r="J34" s="1">
        <v>2023</v>
      </c>
      <c r="K34" s="1">
        <v>2024</v>
      </c>
      <c r="L34" s="1">
        <v>2025</v>
      </c>
    </row>
    <row r="35" spans="1:12" x14ac:dyDescent="0.35">
      <c r="A35" s="1" t="str">
        <f>'Population Definitions'!$A$14</f>
        <v>wasting_hm</v>
      </c>
      <c r="B35" t="s">
        <v>32</v>
      </c>
      <c r="C35" t="s">
        <v>36</v>
      </c>
      <c r="D35" s="3"/>
      <c r="E35" s="3">
        <v>0</v>
      </c>
      <c r="F35" s="4" t="s">
        <v>34</v>
      </c>
      <c r="G35" s="3"/>
      <c r="H35" s="3"/>
      <c r="I35" s="3"/>
      <c r="J35" s="3"/>
      <c r="K35" s="3"/>
      <c r="L35" s="3"/>
    </row>
    <row r="37" spans="1:12" x14ac:dyDescent="0.35">
      <c r="A37" s="1" t="s">
        <v>283</v>
      </c>
      <c r="B37" s="1" t="s">
        <v>28</v>
      </c>
      <c r="C37" s="1" t="s">
        <v>29</v>
      </c>
      <c r="D37" s="1" t="s">
        <v>30</v>
      </c>
      <c r="E37" s="1" t="s">
        <v>31</v>
      </c>
      <c r="F37" s="1"/>
      <c r="G37" s="1">
        <v>2020</v>
      </c>
      <c r="H37" s="1">
        <v>2021</v>
      </c>
      <c r="I37" s="1">
        <v>2022</v>
      </c>
      <c r="J37" s="1">
        <v>2023</v>
      </c>
      <c r="K37" s="1">
        <v>2024</v>
      </c>
      <c r="L37" s="1">
        <v>2025</v>
      </c>
    </row>
    <row r="38" spans="1:12" x14ac:dyDescent="0.35">
      <c r="A38" s="1" t="str">
        <f>'Population Definitions'!$A$14</f>
        <v>wasting_hm</v>
      </c>
      <c r="B38" t="s">
        <v>32</v>
      </c>
      <c r="C38" t="s">
        <v>36</v>
      </c>
      <c r="D38" s="3"/>
      <c r="E38" s="3">
        <v>0</v>
      </c>
      <c r="F38" s="4" t="s">
        <v>34</v>
      </c>
      <c r="G38" s="3"/>
      <c r="H38" s="3"/>
      <c r="I38" s="3"/>
      <c r="J38" s="3"/>
      <c r="K38" s="3"/>
      <c r="L38" s="3"/>
    </row>
    <row r="40" spans="1:12" x14ac:dyDescent="0.35">
      <c r="A40" s="1" t="s">
        <v>284</v>
      </c>
      <c r="B40" s="1" t="s">
        <v>28</v>
      </c>
      <c r="C40" s="1" t="s">
        <v>29</v>
      </c>
      <c r="D40" s="1" t="s">
        <v>30</v>
      </c>
      <c r="E40" s="1" t="s">
        <v>31</v>
      </c>
      <c r="F40" s="1"/>
      <c r="G40" s="1">
        <v>2020</v>
      </c>
      <c r="H40" s="1">
        <v>2021</v>
      </c>
      <c r="I40" s="1">
        <v>2022</v>
      </c>
      <c r="J40" s="1">
        <v>2023</v>
      </c>
      <c r="K40" s="1">
        <v>2024</v>
      </c>
      <c r="L40" s="1">
        <v>2025</v>
      </c>
    </row>
    <row r="41" spans="1:12" x14ac:dyDescent="0.35">
      <c r="A41" s="1" t="str">
        <f>'Population Definitions'!$A$14</f>
        <v>wasting_hm</v>
      </c>
      <c r="B41" t="s">
        <v>32</v>
      </c>
      <c r="C41" t="s">
        <v>36</v>
      </c>
      <c r="D41" s="3"/>
      <c r="E41" s="3">
        <v>0</v>
      </c>
      <c r="F41" s="4" t="s">
        <v>34</v>
      </c>
      <c r="G41" s="3"/>
      <c r="H41" s="3"/>
      <c r="I41" s="3"/>
      <c r="J41" s="3"/>
      <c r="K41" s="3"/>
      <c r="L41" s="3"/>
    </row>
    <row r="43" spans="1:12" x14ac:dyDescent="0.35">
      <c r="A43" s="1" t="s">
        <v>285</v>
      </c>
      <c r="B43" s="1" t="s">
        <v>28</v>
      </c>
      <c r="C43" s="1" t="s">
        <v>29</v>
      </c>
      <c r="D43" s="1" t="s">
        <v>30</v>
      </c>
      <c r="E43" s="1" t="s">
        <v>31</v>
      </c>
      <c r="F43" s="1"/>
      <c r="G43" s="1">
        <v>2020</v>
      </c>
      <c r="H43" s="1">
        <v>2021</v>
      </c>
      <c r="I43" s="1">
        <v>2022</v>
      </c>
      <c r="J43" s="1">
        <v>2023</v>
      </c>
      <c r="K43" s="1">
        <v>2024</v>
      </c>
      <c r="L43" s="1">
        <v>2025</v>
      </c>
    </row>
    <row r="44" spans="1:12" x14ac:dyDescent="0.35">
      <c r="A44" s="1" t="str">
        <f>'Population Definitions'!$A$14</f>
        <v>wasting_hm</v>
      </c>
      <c r="B44" t="s">
        <v>32</v>
      </c>
      <c r="C44" t="s">
        <v>36</v>
      </c>
      <c r="D44" s="3"/>
      <c r="E44" s="3">
        <v>0</v>
      </c>
      <c r="F44" s="4" t="s">
        <v>34</v>
      </c>
      <c r="G44" s="3"/>
      <c r="H44" s="3"/>
      <c r="I44" s="3"/>
      <c r="J44" s="3"/>
      <c r="K44" s="3"/>
      <c r="L44" s="3"/>
    </row>
    <row r="46" spans="1:12" x14ac:dyDescent="0.35">
      <c r="A46" s="1" t="s">
        <v>286</v>
      </c>
      <c r="B46" s="1" t="s">
        <v>28</v>
      </c>
      <c r="C46" s="1" t="s">
        <v>29</v>
      </c>
      <c r="D46" s="1" t="s">
        <v>30</v>
      </c>
      <c r="E46" s="1" t="s">
        <v>31</v>
      </c>
      <c r="F46" s="1"/>
      <c r="G46" s="1">
        <v>2020</v>
      </c>
      <c r="H46" s="1">
        <v>2021</v>
      </c>
      <c r="I46" s="1">
        <v>2022</v>
      </c>
      <c r="J46" s="1">
        <v>2023</v>
      </c>
      <c r="K46" s="1">
        <v>2024</v>
      </c>
      <c r="L46" s="1">
        <v>2025</v>
      </c>
    </row>
    <row r="47" spans="1:12" x14ac:dyDescent="0.35">
      <c r="A47" s="1" t="str">
        <f>'Population Definitions'!$A$14</f>
        <v>wasting_hm</v>
      </c>
      <c r="B47" t="s">
        <v>32</v>
      </c>
      <c r="C47" t="s">
        <v>36</v>
      </c>
      <c r="D47" s="3"/>
      <c r="E47" s="3">
        <v>0</v>
      </c>
      <c r="F47" s="4" t="s">
        <v>34</v>
      </c>
      <c r="G47" s="3"/>
      <c r="H47" s="3"/>
      <c r="I47" s="3"/>
      <c r="J47" s="3"/>
      <c r="K47" s="3"/>
      <c r="L47" s="3"/>
    </row>
    <row r="49" spans="1:12" x14ac:dyDescent="0.35">
      <c r="A49" s="1" t="s">
        <v>287</v>
      </c>
      <c r="B49" s="1" t="s">
        <v>28</v>
      </c>
      <c r="C49" s="1" t="s">
        <v>29</v>
      </c>
      <c r="D49" s="1" t="s">
        <v>30</v>
      </c>
      <c r="E49" s="1" t="s">
        <v>31</v>
      </c>
      <c r="F49" s="1"/>
      <c r="G49" s="1">
        <v>2020</v>
      </c>
      <c r="H49" s="1">
        <v>2021</v>
      </c>
      <c r="I49" s="1">
        <v>2022</v>
      </c>
      <c r="J49" s="1">
        <v>2023</v>
      </c>
      <c r="K49" s="1">
        <v>2024</v>
      </c>
      <c r="L49" s="1">
        <v>2025</v>
      </c>
    </row>
    <row r="50" spans="1:12" x14ac:dyDescent="0.35">
      <c r="A50" s="1" t="str">
        <f>'Population Definitions'!$A$14</f>
        <v>wasting_hm</v>
      </c>
      <c r="B50" t="s">
        <v>32</v>
      </c>
      <c r="C50" t="s">
        <v>36</v>
      </c>
      <c r="D50" s="3"/>
      <c r="E50" s="3">
        <v>0</v>
      </c>
      <c r="F50" s="4" t="s">
        <v>34</v>
      </c>
      <c r="G50" s="3"/>
      <c r="H50" s="3"/>
      <c r="I50" s="3"/>
      <c r="J50" s="3"/>
      <c r="K50" s="3"/>
      <c r="L50" s="3"/>
    </row>
    <row r="52" spans="1:12" x14ac:dyDescent="0.35">
      <c r="A52" s="1" t="s">
        <v>129</v>
      </c>
      <c r="B52" s="1" t="s">
        <v>28</v>
      </c>
      <c r="C52" s="1" t="s">
        <v>29</v>
      </c>
      <c r="D52" s="1" t="s">
        <v>30</v>
      </c>
      <c r="E52" s="1" t="s">
        <v>31</v>
      </c>
      <c r="F52" s="1"/>
      <c r="G52" s="1">
        <v>2020</v>
      </c>
      <c r="H52" s="1">
        <v>2021</v>
      </c>
      <c r="I52" s="1">
        <v>2022</v>
      </c>
      <c r="J52" s="1">
        <v>2023</v>
      </c>
      <c r="K52" s="1">
        <v>2024</v>
      </c>
      <c r="L52" s="1">
        <v>2025</v>
      </c>
    </row>
    <row r="53" spans="1:12" x14ac:dyDescent="0.35">
      <c r="A53" s="1" t="str">
        <f>'Population Definitions'!$A$14</f>
        <v>wasting_hm</v>
      </c>
      <c r="B53" t="s">
        <v>32</v>
      </c>
      <c r="C53" t="s">
        <v>36</v>
      </c>
      <c r="D53" s="3"/>
      <c r="E53" s="3">
        <v>0</v>
      </c>
      <c r="F53" s="4" t="s">
        <v>34</v>
      </c>
      <c r="G53" s="3"/>
      <c r="H53" s="3"/>
      <c r="I53" s="3"/>
      <c r="J53" s="3"/>
      <c r="K53" s="3"/>
      <c r="L53" s="3"/>
    </row>
    <row r="55" spans="1:12" s="18" customFormat="1" x14ac:dyDescent="0.35">
      <c r="A55" s="17" t="s">
        <v>130</v>
      </c>
      <c r="B55" s="17" t="s">
        <v>28</v>
      </c>
      <c r="C55" s="17" t="s">
        <v>29</v>
      </c>
      <c r="D55" s="17" t="s">
        <v>30</v>
      </c>
      <c r="E55" s="17" t="s">
        <v>31</v>
      </c>
      <c r="F55" s="17"/>
      <c r="G55" s="17">
        <v>2020</v>
      </c>
      <c r="H55" s="17">
        <v>2021</v>
      </c>
      <c r="I55" s="17">
        <v>2022</v>
      </c>
      <c r="J55" s="17">
        <v>2023</v>
      </c>
      <c r="K55" s="17">
        <v>2024</v>
      </c>
      <c r="L55" s="17">
        <v>2025</v>
      </c>
    </row>
    <row r="56" spans="1:12" x14ac:dyDescent="0.35">
      <c r="A56" s="1" t="str">
        <f>'Population Definitions'!$A$14</f>
        <v>wasting_hm</v>
      </c>
      <c r="B56" t="s">
        <v>32</v>
      </c>
      <c r="C56" t="s">
        <v>36</v>
      </c>
      <c r="D56" s="3"/>
      <c r="E56" s="14">
        <v>0.1</v>
      </c>
      <c r="F56" s="4" t="s">
        <v>34</v>
      </c>
      <c r="G56" s="15"/>
      <c r="H56" s="3"/>
      <c r="I56" s="3"/>
      <c r="J56" s="3"/>
      <c r="K56" s="3"/>
      <c r="L56" s="3"/>
    </row>
    <row r="58" spans="1:12" s="9" customFormat="1" x14ac:dyDescent="0.35">
      <c r="A58" s="8" t="s">
        <v>131</v>
      </c>
      <c r="B58" s="8" t="s">
        <v>28</v>
      </c>
      <c r="C58" s="8" t="s">
        <v>29</v>
      </c>
      <c r="D58" s="8" t="s">
        <v>30</v>
      </c>
      <c r="E58" s="8" t="s">
        <v>31</v>
      </c>
      <c r="F58" s="8"/>
      <c r="G58" s="8">
        <v>2020</v>
      </c>
      <c r="H58" s="8">
        <v>2021</v>
      </c>
      <c r="I58" s="8">
        <v>2022</v>
      </c>
      <c r="J58" s="8">
        <v>2023</v>
      </c>
      <c r="K58" s="8">
        <v>2024</v>
      </c>
      <c r="L58" s="8">
        <v>2025</v>
      </c>
    </row>
    <row r="59" spans="1:12" s="9" customFormat="1" x14ac:dyDescent="0.35">
      <c r="A59" s="1" t="str">
        <f>'Population Definitions'!$A$14</f>
        <v>wasting_hm</v>
      </c>
      <c r="B59" s="9" t="s">
        <v>32</v>
      </c>
      <c r="C59" s="9" t="s">
        <v>36</v>
      </c>
      <c r="D59" s="10"/>
      <c r="E59" s="10">
        <v>1</v>
      </c>
      <c r="F59" s="11" t="s">
        <v>34</v>
      </c>
      <c r="G59" s="10"/>
      <c r="H59" s="10"/>
      <c r="I59" s="10"/>
      <c r="J59" s="10"/>
      <c r="K59" s="10"/>
      <c r="L59" s="10"/>
    </row>
    <row r="61" spans="1:12" x14ac:dyDescent="0.35">
      <c r="A61" s="1" t="s">
        <v>132</v>
      </c>
      <c r="B61" s="1" t="s">
        <v>28</v>
      </c>
      <c r="C61" s="1" t="s">
        <v>29</v>
      </c>
      <c r="D61" s="1" t="s">
        <v>30</v>
      </c>
      <c r="E61" s="1" t="s">
        <v>31</v>
      </c>
      <c r="F61" s="1"/>
      <c r="G61" s="1">
        <v>2020</v>
      </c>
      <c r="H61" s="1">
        <v>2021</v>
      </c>
      <c r="I61" s="1">
        <v>2022</v>
      </c>
      <c r="J61" s="1">
        <v>2023</v>
      </c>
      <c r="K61" s="1">
        <v>2024</v>
      </c>
      <c r="L61" s="1">
        <v>2025</v>
      </c>
    </row>
    <row r="62" spans="1:12" x14ac:dyDescent="0.35">
      <c r="A62" s="1" t="str">
        <f>'Population Definitions'!$A$14</f>
        <v>wasting_hm</v>
      </c>
      <c r="B62" t="s">
        <v>32</v>
      </c>
      <c r="C62" t="s">
        <v>36</v>
      </c>
      <c r="D62" s="3"/>
      <c r="E62" s="3">
        <v>0.05</v>
      </c>
      <c r="F62" s="4" t="s">
        <v>34</v>
      </c>
      <c r="G62" s="3"/>
      <c r="H62" s="3"/>
      <c r="I62" s="3"/>
      <c r="J62" s="3"/>
      <c r="K62" s="3"/>
      <c r="L62" s="3"/>
    </row>
    <row r="64" spans="1:12" x14ac:dyDescent="0.35">
      <c r="A64" s="1" t="s">
        <v>133</v>
      </c>
      <c r="B64" s="1" t="s">
        <v>28</v>
      </c>
      <c r="C64" s="1" t="s">
        <v>29</v>
      </c>
      <c r="D64" s="1" t="s">
        <v>30</v>
      </c>
      <c r="E64" s="1" t="s">
        <v>31</v>
      </c>
      <c r="F64" s="1"/>
      <c r="G64" s="1">
        <v>2020</v>
      </c>
      <c r="H64" s="1">
        <v>2021</v>
      </c>
      <c r="I64" s="1">
        <v>2022</v>
      </c>
      <c r="J64" s="1">
        <v>2023</v>
      </c>
      <c r="K64" s="1">
        <v>2024</v>
      </c>
      <c r="L64" s="1">
        <v>2025</v>
      </c>
    </row>
    <row r="65" spans="1:12" x14ac:dyDescent="0.35">
      <c r="A65" s="1" t="str">
        <f>'Population Definitions'!$A$14</f>
        <v>wasting_hm</v>
      </c>
      <c r="B65" t="s">
        <v>32</v>
      </c>
      <c r="C65" t="s">
        <v>36</v>
      </c>
      <c r="D65" s="3"/>
      <c r="E65" s="3">
        <v>0.05</v>
      </c>
      <c r="F65" s="4" t="s">
        <v>34</v>
      </c>
      <c r="G65" s="3"/>
      <c r="H65" s="3"/>
      <c r="I65" s="3"/>
      <c r="J65" s="3"/>
      <c r="K65" s="3"/>
      <c r="L65" s="3"/>
    </row>
    <row r="67" spans="1:12" x14ac:dyDescent="0.35">
      <c r="A67" s="1" t="s">
        <v>134</v>
      </c>
      <c r="B67" s="1" t="s">
        <v>28</v>
      </c>
      <c r="C67" s="1" t="s">
        <v>29</v>
      </c>
      <c r="D67" s="1" t="s">
        <v>30</v>
      </c>
      <c r="E67" s="1" t="s">
        <v>31</v>
      </c>
      <c r="F67" s="1"/>
      <c r="G67" s="1">
        <v>2020</v>
      </c>
      <c r="H67" s="1">
        <v>2021</v>
      </c>
      <c r="I67" s="1">
        <v>2022</v>
      </c>
      <c r="J67" s="1">
        <v>2023</v>
      </c>
      <c r="K67" s="1">
        <v>2024</v>
      </c>
      <c r="L67" s="1">
        <v>2025</v>
      </c>
    </row>
    <row r="68" spans="1:12" x14ac:dyDescent="0.35">
      <c r="A68" s="1" t="str">
        <f>'Population Definitions'!$A$14</f>
        <v>wasting_hm</v>
      </c>
      <c r="B68" t="s">
        <v>32</v>
      </c>
      <c r="C68" t="s">
        <v>36</v>
      </c>
      <c r="D68" s="3"/>
      <c r="E68" s="3">
        <v>1.4999999999999999E-2</v>
      </c>
      <c r="F68" s="4" t="s">
        <v>34</v>
      </c>
      <c r="G68" s="3"/>
      <c r="H68" s="3"/>
      <c r="I68" s="3"/>
      <c r="J68" s="3"/>
      <c r="K68" s="3"/>
      <c r="L68" s="3"/>
    </row>
    <row r="70" spans="1:12" x14ac:dyDescent="0.35">
      <c r="A70" s="1" t="s">
        <v>135</v>
      </c>
      <c r="B70" s="1" t="s">
        <v>28</v>
      </c>
      <c r="C70" s="1" t="s">
        <v>29</v>
      </c>
      <c r="D70" s="1" t="s">
        <v>30</v>
      </c>
      <c r="E70" s="1" t="s">
        <v>31</v>
      </c>
      <c r="F70" s="1"/>
      <c r="G70" s="1">
        <v>2020</v>
      </c>
      <c r="H70" s="1">
        <v>2021</v>
      </c>
      <c r="I70" s="1">
        <v>2022</v>
      </c>
      <c r="J70" s="1">
        <v>2023</v>
      </c>
      <c r="K70" s="1">
        <v>2024</v>
      </c>
      <c r="L70" s="1">
        <v>2025</v>
      </c>
    </row>
    <row r="71" spans="1:12" x14ac:dyDescent="0.35">
      <c r="A71" s="1" t="str">
        <f>'Population Definitions'!$A$14</f>
        <v>wasting_hm</v>
      </c>
      <c r="B71" t="s">
        <v>32</v>
      </c>
      <c r="C71" t="s">
        <v>36</v>
      </c>
      <c r="D71" s="3"/>
      <c r="E71" s="3">
        <v>0.2</v>
      </c>
      <c r="F71" s="4" t="s">
        <v>34</v>
      </c>
      <c r="G71" s="3"/>
      <c r="H71" s="3"/>
      <c r="I71" s="3"/>
      <c r="J71" s="3"/>
      <c r="K71" s="3"/>
      <c r="L71" s="3"/>
    </row>
    <row r="73" spans="1:12" x14ac:dyDescent="0.35">
      <c r="A73" s="1" t="s">
        <v>136</v>
      </c>
      <c r="B73" s="1" t="s">
        <v>28</v>
      </c>
      <c r="C73" s="1" t="s">
        <v>29</v>
      </c>
      <c r="D73" s="1" t="s">
        <v>30</v>
      </c>
      <c r="E73" s="1" t="s">
        <v>31</v>
      </c>
      <c r="F73" s="1"/>
      <c r="G73" s="1">
        <v>2020</v>
      </c>
      <c r="H73" s="1">
        <v>2021</v>
      </c>
      <c r="I73" s="1">
        <v>2022</v>
      </c>
      <c r="J73" s="1">
        <v>2023</v>
      </c>
      <c r="K73" s="1">
        <v>2024</v>
      </c>
      <c r="L73" s="1">
        <v>2025</v>
      </c>
    </row>
    <row r="74" spans="1:12" x14ac:dyDescent="0.35">
      <c r="A74" s="1" t="str">
        <f>'Population Definitions'!$A$14</f>
        <v>wasting_hm</v>
      </c>
      <c r="B74" t="s">
        <v>32</v>
      </c>
      <c r="C74" t="s">
        <v>36</v>
      </c>
      <c r="D74" s="3"/>
      <c r="E74" s="3">
        <v>0.08</v>
      </c>
      <c r="F74" s="4" t="s">
        <v>34</v>
      </c>
      <c r="G74" s="3"/>
      <c r="H74" s="3"/>
      <c r="I74" s="3"/>
      <c r="J74" s="3"/>
      <c r="K74" s="3"/>
      <c r="L74" s="3"/>
    </row>
    <row r="76" spans="1:12" x14ac:dyDescent="0.35">
      <c r="A76" s="1" t="s">
        <v>232</v>
      </c>
      <c r="B76" s="1" t="s">
        <v>28</v>
      </c>
      <c r="C76" s="1" t="s">
        <v>29</v>
      </c>
      <c r="D76" s="1" t="s">
        <v>30</v>
      </c>
      <c r="E76" s="1" t="s">
        <v>31</v>
      </c>
      <c r="F76" s="1"/>
      <c r="G76" s="1">
        <v>2020</v>
      </c>
      <c r="H76" s="1">
        <v>2021</v>
      </c>
      <c r="I76" s="1">
        <v>2022</v>
      </c>
      <c r="J76" s="1">
        <v>2023</v>
      </c>
      <c r="K76" s="1">
        <v>2024</v>
      </c>
      <c r="L76" s="1">
        <v>2025</v>
      </c>
    </row>
    <row r="77" spans="1:12" x14ac:dyDescent="0.35">
      <c r="A77" s="1" t="str">
        <f>'Population Definitions'!$A$14</f>
        <v>wasting_hm</v>
      </c>
      <c r="B77" t="s">
        <v>32</v>
      </c>
      <c r="C77" t="s">
        <v>36</v>
      </c>
      <c r="D77" s="3"/>
      <c r="E77" s="3">
        <f>0.01</f>
        <v>0.01</v>
      </c>
      <c r="F77" s="4" t="s">
        <v>34</v>
      </c>
      <c r="G77" s="3"/>
      <c r="H77" s="3"/>
      <c r="I77" s="3"/>
      <c r="J77" s="3"/>
      <c r="K77" s="3"/>
      <c r="L77" s="3"/>
    </row>
    <row r="79" spans="1:12" x14ac:dyDescent="0.35">
      <c r="A79" s="1" t="s">
        <v>233</v>
      </c>
      <c r="B79" s="1" t="s">
        <v>28</v>
      </c>
      <c r="C79" s="1" t="s">
        <v>29</v>
      </c>
      <c r="D79" s="1" t="s">
        <v>30</v>
      </c>
      <c r="E79" s="1" t="s">
        <v>31</v>
      </c>
      <c r="F79" s="1"/>
      <c r="G79" s="1">
        <v>2020</v>
      </c>
      <c r="H79" s="1">
        <v>2021</v>
      </c>
      <c r="I79" s="1">
        <v>2022</v>
      </c>
      <c r="J79" s="1">
        <v>2023</v>
      </c>
      <c r="K79" s="1">
        <v>2024</v>
      </c>
      <c r="L79" s="1">
        <v>2025</v>
      </c>
    </row>
    <row r="80" spans="1:12" x14ac:dyDescent="0.35">
      <c r="A80" s="1" t="str">
        <f>'Population Definitions'!$A$14</f>
        <v>wasting_hm</v>
      </c>
      <c r="B80" t="s">
        <v>32</v>
      </c>
      <c r="C80" t="s">
        <v>36</v>
      </c>
      <c r="D80" s="3"/>
      <c r="E80" s="3">
        <v>0.01</v>
      </c>
      <c r="F80" s="4" t="s">
        <v>34</v>
      </c>
      <c r="G80" s="3"/>
      <c r="H80" s="3"/>
      <c r="I80" s="3"/>
      <c r="J80" s="3"/>
      <c r="K80" s="3"/>
      <c r="L80" s="3"/>
    </row>
    <row r="82" spans="1:12" x14ac:dyDescent="0.35">
      <c r="A82" s="1" t="s">
        <v>137</v>
      </c>
      <c r="B82" s="1" t="s">
        <v>28</v>
      </c>
      <c r="C82" s="1" t="s">
        <v>29</v>
      </c>
      <c r="D82" s="1" t="s">
        <v>30</v>
      </c>
      <c r="E82" s="1" t="s">
        <v>31</v>
      </c>
      <c r="F82" s="1"/>
      <c r="G82" s="1">
        <v>2020</v>
      </c>
      <c r="H82" s="1">
        <v>2021</v>
      </c>
      <c r="I82" s="1">
        <v>2022</v>
      </c>
      <c r="J82" s="1">
        <v>2023</v>
      </c>
      <c r="K82" s="1">
        <v>2024</v>
      </c>
      <c r="L82" s="1">
        <v>2025</v>
      </c>
    </row>
    <row r="83" spans="1:12" x14ac:dyDescent="0.35">
      <c r="A83" s="1" t="str">
        <f>'Population Definitions'!$A$14</f>
        <v>wasting_hm</v>
      </c>
      <c r="B83" t="s">
        <v>32</v>
      </c>
      <c r="C83" t="s">
        <v>36</v>
      </c>
      <c r="D83" s="3"/>
      <c r="E83" s="3">
        <v>0.05</v>
      </c>
      <c r="F83" s="4" t="s">
        <v>34</v>
      </c>
      <c r="G83" s="3"/>
      <c r="H83" s="3"/>
      <c r="I83" s="3"/>
      <c r="J83" s="3"/>
      <c r="K83" s="3"/>
      <c r="L83" s="3"/>
    </row>
    <row r="85" spans="1:12" x14ac:dyDescent="0.35">
      <c r="A85" s="1" t="s">
        <v>138</v>
      </c>
      <c r="B85" s="1" t="s">
        <v>28</v>
      </c>
      <c r="C85" s="1" t="s">
        <v>29</v>
      </c>
      <c r="D85" s="1" t="s">
        <v>30</v>
      </c>
      <c r="E85" s="1" t="s">
        <v>31</v>
      </c>
      <c r="F85" s="1"/>
      <c r="G85" s="1">
        <v>2020</v>
      </c>
      <c r="H85" s="1">
        <v>2021</v>
      </c>
      <c r="I85" s="1">
        <v>2022</v>
      </c>
      <c r="J85" s="1">
        <v>2023</v>
      </c>
      <c r="K85" s="1">
        <v>2024</v>
      </c>
      <c r="L85" s="1">
        <v>2025</v>
      </c>
    </row>
    <row r="86" spans="1:12" x14ac:dyDescent="0.35">
      <c r="A86" s="1" t="str">
        <f>'Population Definitions'!$A$14</f>
        <v>wasting_hm</v>
      </c>
      <c r="B86" t="s">
        <v>32</v>
      </c>
      <c r="C86" t="s">
        <v>36</v>
      </c>
      <c r="D86" s="3"/>
      <c r="E86" s="3">
        <v>1.4999999999999999E-2</v>
      </c>
      <c r="F86" s="4" t="s">
        <v>34</v>
      </c>
      <c r="G86" s="3"/>
      <c r="H86" s="3"/>
      <c r="I86" s="3"/>
      <c r="J86" s="3"/>
      <c r="K86" s="3"/>
      <c r="L86" s="3"/>
    </row>
    <row r="88" spans="1:12" x14ac:dyDescent="0.35">
      <c r="A88" s="1" t="s">
        <v>139</v>
      </c>
      <c r="B88" s="1" t="s">
        <v>28</v>
      </c>
      <c r="C88" s="1" t="s">
        <v>29</v>
      </c>
      <c r="D88" s="1" t="s">
        <v>30</v>
      </c>
      <c r="E88" s="1" t="s">
        <v>31</v>
      </c>
      <c r="F88" s="1"/>
      <c r="G88" s="1">
        <v>2020</v>
      </c>
      <c r="H88" s="1">
        <v>2021</v>
      </c>
      <c r="I88" s="1">
        <v>2022</v>
      </c>
      <c r="J88" s="1">
        <v>2023</v>
      </c>
      <c r="K88" s="1">
        <v>2024</v>
      </c>
      <c r="L88" s="1">
        <v>2025</v>
      </c>
    </row>
    <row r="89" spans="1:12" x14ac:dyDescent="0.35">
      <c r="A89" s="1" t="str">
        <f>'Population Definitions'!$A$14</f>
        <v>wasting_hm</v>
      </c>
      <c r="B89" t="s">
        <v>32</v>
      </c>
      <c r="C89" t="s">
        <v>36</v>
      </c>
      <c r="D89" s="3"/>
      <c r="E89" s="3">
        <v>0.2</v>
      </c>
      <c r="F89" s="4" t="s">
        <v>34</v>
      </c>
      <c r="G89" s="3"/>
      <c r="H89" s="3"/>
      <c r="I89" s="3"/>
      <c r="J89" s="3"/>
      <c r="K89" s="3"/>
      <c r="L89" s="3"/>
    </row>
    <row r="91" spans="1:12" x14ac:dyDescent="0.35">
      <c r="A91" s="1" t="s">
        <v>140</v>
      </c>
      <c r="B91" s="1" t="s">
        <v>28</v>
      </c>
      <c r="C91" s="1" t="s">
        <v>29</v>
      </c>
      <c r="D91" s="1" t="s">
        <v>30</v>
      </c>
      <c r="E91" s="1" t="s">
        <v>31</v>
      </c>
      <c r="F91" s="1"/>
      <c r="G91" s="1">
        <v>2020</v>
      </c>
      <c r="H91" s="1">
        <v>2021</v>
      </c>
      <c r="I91" s="1">
        <v>2022</v>
      </c>
      <c r="J91" s="1">
        <v>2023</v>
      </c>
      <c r="K91" s="1">
        <v>2024</v>
      </c>
      <c r="L91" s="1">
        <v>2025</v>
      </c>
    </row>
    <row r="92" spans="1:12" x14ac:dyDescent="0.35">
      <c r="A92" s="1" t="str">
        <f>'Population Definitions'!$A$14</f>
        <v>wasting_hm</v>
      </c>
      <c r="B92" t="s">
        <v>32</v>
      </c>
      <c r="C92" t="s">
        <v>36</v>
      </c>
      <c r="D92" s="3"/>
      <c r="E92" s="3">
        <f>0.08</f>
        <v>0.08</v>
      </c>
      <c r="F92" s="4" t="s">
        <v>34</v>
      </c>
      <c r="G92" s="3"/>
      <c r="H92" s="3"/>
      <c r="I92" s="3"/>
      <c r="J92" s="3"/>
      <c r="K92" s="3"/>
      <c r="L92" s="3"/>
    </row>
    <row r="94" spans="1:12" x14ac:dyDescent="0.35">
      <c r="A94" s="1" t="s">
        <v>234</v>
      </c>
      <c r="B94" s="1" t="s">
        <v>28</v>
      </c>
      <c r="C94" s="1" t="s">
        <v>29</v>
      </c>
      <c r="D94" s="1" t="s">
        <v>30</v>
      </c>
      <c r="E94" s="1" t="s">
        <v>31</v>
      </c>
      <c r="F94" s="1"/>
      <c r="G94" s="1">
        <v>2020</v>
      </c>
      <c r="H94" s="1">
        <v>2021</v>
      </c>
      <c r="I94" s="1">
        <v>2022</v>
      </c>
      <c r="J94" s="1">
        <v>2023</v>
      </c>
      <c r="K94" s="1">
        <v>2024</v>
      </c>
      <c r="L94" s="1">
        <v>2025</v>
      </c>
    </row>
    <row r="95" spans="1:12" x14ac:dyDescent="0.35">
      <c r="A95" s="1" t="str">
        <f>'Population Definitions'!$A$14</f>
        <v>wasting_hm</v>
      </c>
      <c r="B95" t="s">
        <v>32</v>
      </c>
      <c r="C95" t="s">
        <v>36</v>
      </c>
      <c r="D95" s="3"/>
      <c r="E95" s="3">
        <f>0.01</f>
        <v>0.01</v>
      </c>
      <c r="F95" s="4" t="s">
        <v>34</v>
      </c>
      <c r="G95" s="3"/>
      <c r="H95" s="3"/>
      <c r="I95" s="3"/>
      <c r="J95" s="3"/>
      <c r="K95" s="3"/>
      <c r="L95" s="3"/>
    </row>
    <row r="97" spans="1:12" x14ac:dyDescent="0.35">
      <c r="A97" s="1" t="s">
        <v>235</v>
      </c>
      <c r="B97" s="1" t="s">
        <v>28</v>
      </c>
      <c r="C97" s="1" t="s">
        <v>29</v>
      </c>
      <c r="D97" s="1" t="s">
        <v>30</v>
      </c>
      <c r="E97" s="1" t="s">
        <v>31</v>
      </c>
      <c r="F97" s="1"/>
      <c r="G97" s="1">
        <v>2020</v>
      </c>
      <c r="H97" s="1">
        <v>2021</v>
      </c>
      <c r="I97" s="1">
        <v>2022</v>
      </c>
      <c r="J97" s="1">
        <v>2023</v>
      </c>
      <c r="K97" s="1">
        <v>2024</v>
      </c>
      <c r="L97" s="1">
        <v>2025</v>
      </c>
    </row>
    <row r="98" spans="1:12" x14ac:dyDescent="0.35">
      <c r="A98" s="1" t="str">
        <f>'Population Definitions'!$A$14</f>
        <v>wasting_hm</v>
      </c>
      <c r="B98" t="s">
        <v>32</v>
      </c>
      <c r="C98" t="s">
        <v>36</v>
      </c>
      <c r="D98" s="3"/>
      <c r="E98" s="3">
        <f>0.01</f>
        <v>0.01</v>
      </c>
      <c r="F98" s="4" t="s">
        <v>34</v>
      </c>
      <c r="G98" s="3"/>
      <c r="H98" s="3"/>
      <c r="I98" s="3"/>
      <c r="J98" s="3"/>
      <c r="K98" s="3"/>
      <c r="L98" s="3"/>
    </row>
    <row r="100" spans="1:12" x14ac:dyDescent="0.35">
      <c r="A100" s="1" t="s">
        <v>228</v>
      </c>
      <c r="B100" s="1" t="s">
        <v>28</v>
      </c>
      <c r="C100" s="1" t="s">
        <v>29</v>
      </c>
      <c r="D100" s="1" t="s">
        <v>30</v>
      </c>
      <c r="E100" s="1" t="s">
        <v>31</v>
      </c>
      <c r="F100" s="1"/>
      <c r="G100" s="1">
        <v>2020</v>
      </c>
      <c r="H100" s="1">
        <v>2021</v>
      </c>
      <c r="I100" s="1">
        <v>2022</v>
      </c>
      <c r="J100" s="1">
        <v>2023</v>
      </c>
      <c r="K100" s="1">
        <v>2024</v>
      </c>
      <c r="L100" s="1">
        <v>2025</v>
      </c>
    </row>
    <row r="101" spans="1:12" x14ac:dyDescent="0.35">
      <c r="A101" s="1" t="str">
        <f>'Population Definitions'!$A$14</f>
        <v>wasting_hm</v>
      </c>
      <c r="B101" t="s">
        <v>32</v>
      </c>
      <c r="C101" t="s">
        <v>64</v>
      </c>
      <c r="D101" s="3"/>
      <c r="E101" s="7">
        <v>1.3299999999999999E-2</v>
      </c>
      <c r="F101" s="4" t="s">
        <v>34</v>
      </c>
      <c r="G101" s="3"/>
      <c r="H101" s="3"/>
      <c r="I101" s="3"/>
      <c r="J101" s="3"/>
      <c r="K101" s="3"/>
      <c r="L101" s="3"/>
    </row>
    <row r="103" spans="1:12" x14ac:dyDescent="0.35">
      <c r="A103" s="1" t="s">
        <v>229</v>
      </c>
      <c r="B103" s="1" t="s">
        <v>28</v>
      </c>
      <c r="C103" s="1" t="s">
        <v>29</v>
      </c>
      <c r="D103" s="1" t="s">
        <v>30</v>
      </c>
      <c r="E103" s="1" t="s">
        <v>31</v>
      </c>
      <c r="F103" s="1"/>
      <c r="G103" s="1">
        <v>2020</v>
      </c>
      <c r="H103" s="1">
        <v>2021</v>
      </c>
      <c r="I103" s="1">
        <v>2022</v>
      </c>
      <c r="J103" s="1">
        <v>2023</v>
      </c>
      <c r="K103" s="1">
        <v>2024</v>
      </c>
      <c r="L103" s="1">
        <v>2025</v>
      </c>
    </row>
    <row r="104" spans="1:12" x14ac:dyDescent="0.35">
      <c r="A104" s="1" t="str">
        <f>'Population Definitions'!$A$14</f>
        <v>wasting_hm</v>
      </c>
      <c r="B104" t="s">
        <v>32</v>
      </c>
      <c r="C104" t="s">
        <v>64</v>
      </c>
      <c r="D104" s="3"/>
      <c r="E104" s="7">
        <v>3.3000000000000002E-2</v>
      </c>
      <c r="F104" s="4" t="s">
        <v>34</v>
      </c>
      <c r="G104" s="3"/>
      <c r="H104" s="3"/>
      <c r="I104" s="3"/>
      <c r="J104" s="3"/>
      <c r="K104" s="3"/>
      <c r="L104" s="3"/>
    </row>
    <row r="106" spans="1:12" x14ac:dyDescent="0.35">
      <c r="A106" s="1" t="s">
        <v>230</v>
      </c>
      <c r="B106" s="1" t="s">
        <v>28</v>
      </c>
      <c r="C106" s="1" t="s">
        <v>29</v>
      </c>
      <c r="D106" s="1" t="s">
        <v>30</v>
      </c>
      <c r="E106" s="1" t="s">
        <v>31</v>
      </c>
      <c r="F106" s="1"/>
      <c r="G106" s="1">
        <v>2020</v>
      </c>
      <c r="H106" s="1">
        <v>2021</v>
      </c>
      <c r="I106" s="1">
        <v>2022</v>
      </c>
      <c r="J106" s="1">
        <v>2023</v>
      </c>
      <c r="K106" s="1">
        <v>2024</v>
      </c>
      <c r="L106" s="1">
        <v>2025</v>
      </c>
    </row>
    <row r="107" spans="1:12" x14ac:dyDescent="0.35">
      <c r="A107" s="1" t="str">
        <f>'Population Definitions'!$A$14</f>
        <v>wasting_hm</v>
      </c>
      <c r="B107" t="s">
        <v>32</v>
      </c>
      <c r="C107" t="s">
        <v>64</v>
      </c>
      <c r="D107" s="3"/>
      <c r="E107" s="7">
        <v>5.1999999999999998E-2</v>
      </c>
      <c r="F107" s="4" t="s">
        <v>34</v>
      </c>
      <c r="G107" s="3"/>
      <c r="H107" s="3"/>
      <c r="I107" s="3"/>
      <c r="J107" s="3"/>
      <c r="K107" s="3"/>
      <c r="L107" s="3"/>
    </row>
    <row r="109" spans="1:12" x14ac:dyDescent="0.35">
      <c r="A109" s="1" t="s">
        <v>354</v>
      </c>
      <c r="B109" s="1" t="s">
        <v>28</v>
      </c>
      <c r="C109" s="1" t="s">
        <v>29</v>
      </c>
      <c r="D109" s="1" t="s">
        <v>30</v>
      </c>
      <c r="E109" s="1" t="s">
        <v>31</v>
      </c>
      <c r="F109" s="1"/>
      <c r="G109" s="1">
        <v>2020</v>
      </c>
      <c r="H109" s="1">
        <v>2021</v>
      </c>
      <c r="I109" s="1">
        <v>2022</v>
      </c>
      <c r="J109" s="1">
        <v>2023</v>
      </c>
      <c r="K109" s="1">
        <v>2024</v>
      </c>
      <c r="L109" s="1">
        <v>2025</v>
      </c>
    </row>
    <row r="110" spans="1:12" x14ac:dyDescent="0.35">
      <c r="A110" s="1" t="str">
        <f>'[6]Population Definitions'!$A$14</f>
        <v>wasting_hm</v>
      </c>
      <c r="B110" t="s">
        <v>32</v>
      </c>
      <c r="C110" t="s">
        <v>36</v>
      </c>
      <c r="D110" s="3"/>
      <c r="E110" s="3">
        <v>0</v>
      </c>
      <c r="F110" s="4" t="s">
        <v>34</v>
      </c>
      <c r="G110" s="3"/>
      <c r="H110" s="3"/>
      <c r="I110" s="3"/>
      <c r="J110" s="3"/>
      <c r="K110" s="3"/>
      <c r="L110" s="3"/>
    </row>
    <row r="112" spans="1:12" x14ac:dyDescent="0.35">
      <c r="A112" s="1" t="s">
        <v>355</v>
      </c>
      <c r="B112" s="1" t="s">
        <v>28</v>
      </c>
      <c r="C112" s="1" t="s">
        <v>29</v>
      </c>
      <c r="D112" s="1" t="s">
        <v>30</v>
      </c>
      <c r="E112" s="1" t="s">
        <v>31</v>
      </c>
      <c r="F112" s="1"/>
      <c r="G112" s="1">
        <v>2020</v>
      </c>
      <c r="H112" s="1">
        <v>2021</v>
      </c>
      <c r="I112" s="1">
        <v>2022</v>
      </c>
      <c r="J112" s="1">
        <v>2023</v>
      </c>
      <c r="K112" s="1">
        <v>2024</v>
      </c>
      <c r="L112" s="1">
        <v>2025</v>
      </c>
    </row>
    <row r="113" spans="1:12" x14ac:dyDescent="0.35">
      <c r="A113" s="1" t="str">
        <f>'[6]Population Definitions'!$A$14</f>
        <v>wasting_hm</v>
      </c>
      <c r="B113" t="s">
        <v>32</v>
      </c>
      <c r="C113" t="s">
        <v>36</v>
      </c>
      <c r="D113" s="3"/>
      <c r="E113" s="3">
        <v>0</v>
      </c>
      <c r="F113" s="4" t="s">
        <v>34</v>
      </c>
      <c r="G113" s="3"/>
      <c r="H113" s="3"/>
      <c r="I113" s="3"/>
      <c r="J113" s="3"/>
      <c r="K113" s="3"/>
      <c r="L113" s="3"/>
    </row>
    <row r="115" spans="1:12" x14ac:dyDescent="0.35">
      <c r="A115" s="1" t="s">
        <v>356</v>
      </c>
      <c r="B115" s="1" t="s">
        <v>28</v>
      </c>
      <c r="C115" s="1" t="s">
        <v>29</v>
      </c>
      <c r="D115" s="1" t="s">
        <v>30</v>
      </c>
      <c r="E115" s="1" t="s">
        <v>31</v>
      </c>
      <c r="F115" s="1"/>
      <c r="G115" s="1">
        <v>2020</v>
      </c>
      <c r="H115" s="1">
        <v>2021</v>
      </c>
      <c r="I115" s="1">
        <v>2022</v>
      </c>
      <c r="J115" s="1">
        <v>2023</v>
      </c>
      <c r="K115" s="1">
        <v>2024</v>
      </c>
      <c r="L115" s="1">
        <v>2025</v>
      </c>
    </row>
    <row r="116" spans="1:12" x14ac:dyDescent="0.35">
      <c r="A116" s="1" t="str">
        <f>'[6]Population Definitions'!$A$14</f>
        <v>wasting_hm</v>
      </c>
      <c r="B116" t="s">
        <v>32</v>
      </c>
      <c r="C116" t="s">
        <v>36</v>
      </c>
      <c r="D116" s="3"/>
      <c r="E116" s="3">
        <v>0</v>
      </c>
      <c r="F116" s="4" t="s">
        <v>34</v>
      </c>
      <c r="G116" s="3"/>
      <c r="H116" s="3"/>
      <c r="I116" s="3"/>
      <c r="J116" s="3"/>
      <c r="K116" s="3"/>
      <c r="L116" s="3"/>
    </row>
    <row r="118" spans="1:12" x14ac:dyDescent="0.35">
      <c r="A118" s="1" t="s">
        <v>357</v>
      </c>
      <c r="B118" s="1" t="s">
        <v>28</v>
      </c>
      <c r="C118" s="1" t="s">
        <v>29</v>
      </c>
      <c r="D118" s="1" t="s">
        <v>30</v>
      </c>
      <c r="E118" s="1" t="s">
        <v>31</v>
      </c>
      <c r="F118" s="1"/>
      <c r="G118" s="1">
        <v>2020</v>
      </c>
      <c r="H118" s="1">
        <v>2021</v>
      </c>
      <c r="I118" s="1">
        <v>2022</v>
      </c>
      <c r="J118" s="1">
        <v>2023</v>
      </c>
      <c r="K118" s="1">
        <v>2024</v>
      </c>
      <c r="L118" s="1">
        <v>2025</v>
      </c>
    </row>
    <row r="119" spans="1:12" x14ac:dyDescent="0.35">
      <c r="A119" s="1" t="str">
        <f>'[6]Population Definitions'!$A$14</f>
        <v>wasting_hm</v>
      </c>
      <c r="B119" t="s">
        <v>32</v>
      </c>
      <c r="C119" t="s">
        <v>36</v>
      </c>
      <c r="D119" s="3"/>
      <c r="E119" s="3">
        <v>0</v>
      </c>
      <c r="F119" s="4" t="s">
        <v>34</v>
      </c>
      <c r="G119" s="3"/>
      <c r="H119" s="3"/>
      <c r="I119" s="3"/>
      <c r="J119" s="3"/>
      <c r="K119" s="3"/>
      <c r="L119" s="3"/>
    </row>
  </sheetData>
  <conditionalFormatting sqref="E2">
    <cfRule type="expression" dxfId="565" priority="44">
      <formula>AND(COUNTIF(G2:L2,"&lt;&gt;" &amp; "")&gt;0,NOT(ISBLANK(E2)))</formula>
    </cfRule>
    <cfRule type="expression" dxfId="564" priority="43">
      <formula>COUNTIF(G2:L2,"&lt;&gt;" &amp; "")&gt;0</formula>
    </cfRule>
  </conditionalFormatting>
  <conditionalFormatting sqref="E5">
    <cfRule type="expression" dxfId="563" priority="46">
      <formula>AND(COUNTIF(G5:L5,"&lt;&gt;" &amp; "")&gt;0,NOT(ISBLANK(E5)))</formula>
    </cfRule>
    <cfRule type="expression" dxfId="562" priority="45">
      <formula>COUNTIF(G5:L5,"&lt;&gt;" &amp; "")&gt;0</formula>
    </cfRule>
  </conditionalFormatting>
  <conditionalFormatting sqref="E8">
    <cfRule type="expression" dxfId="561" priority="38">
      <formula>AND(COUNTIF(G8:L8,"&lt;&gt;" &amp; "")&gt;0,NOT(ISBLANK(E8)))</formula>
    </cfRule>
    <cfRule type="expression" dxfId="560" priority="37">
      <formula>COUNTIF(G8:L8,"&lt;&gt;" &amp; "")&gt;0</formula>
    </cfRule>
  </conditionalFormatting>
  <conditionalFormatting sqref="E11">
    <cfRule type="expression" dxfId="559" priority="31">
      <formula>COUNTIF(G11:L11,"&lt;&gt;" &amp; "")&gt;0</formula>
    </cfRule>
    <cfRule type="expression" dxfId="558" priority="32">
      <formula>AND(COUNTIF(G11:L11,"&lt;&gt;" &amp; "")&gt;0,NOT(ISBLANK(E11)))</formula>
    </cfRule>
  </conditionalFormatting>
  <conditionalFormatting sqref="E14">
    <cfRule type="expression" dxfId="557" priority="52">
      <formula>AND(COUNTIF(G14:L14,"&lt;&gt;" &amp; "")&gt;0,NOT(ISBLANK(E14)))</formula>
    </cfRule>
    <cfRule type="expression" dxfId="556" priority="51">
      <formula>COUNTIF(G14:L14,"&lt;&gt;" &amp; "")&gt;0</formula>
    </cfRule>
  </conditionalFormatting>
  <conditionalFormatting sqref="E17">
    <cfRule type="expression" dxfId="555" priority="53">
      <formula>COUNTIF(G17:L17,"&lt;&gt;" &amp; "")&gt;0</formula>
    </cfRule>
    <cfRule type="expression" dxfId="554" priority="54">
      <formula>AND(COUNTIF(G17:L17,"&lt;&gt;" &amp; "")&gt;0,NOT(ISBLANK(E17)))</formula>
    </cfRule>
  </conditionalFormatting>
  <conditionalFormatting sqref="E20">
    <cfRule type="expression" dxfId="553" priority="56">
      <formula>AND(COUNTIF(G20:L20,"&lt;&gt;" &amp; "")&gt;0,NOT(ISBLANK(E20)))</formula>
    </cfRule>
    <cfRule type="expression" dxfId="552" priority="55">
      <formula>COUNTIF(G20:L20,"&lt;&gt;" &amp; "")&gt;0</formula>
    </cfRule>
  </conditionalFormatting>
  <conditionalFormatting sqref="E23">
    <cfRule type="expression" dxfId="551" priority="58">
      <formula>AND(COUNTIF(G23:L23,"&lt;&gt;" &amp; "")&gt;0,NOT(ISBLANK(E23)))</formula>
    </cfRule>
    <cfRule type="expression" dxfId="550" priority="57">
      <formula>COUNTIF(G23:L23,"&lt;&gt;" &amp; "")&gt;0</formula>
    </cfRule>
  </conditionalFormatting>
  <conditionalFormatting sqref="E26">
    <cfRule type="expression" dxfId="549" priority="60">
      <formula>AND(COUNTIF(G26:L26,"&lt;&gt;" &amp; "")&gt;0,NOT(ISBLANK(E26)))</formula>
    </cfRule>
    <cfRule type="expression" dxfId="548" priority="59">
      <formula>COUNTIF(G26:L26,"&lt;&gt;" &amp; "")&gt;0</formula>
    </cfRule>
  </conditionalFormatting>
  <conditionalFormatting sqref="E29">
    <cfRule type="expression" dxfId="547" priority="19">
      <formula>COUNTIF(G29:L29,"&lt;&gt;" &amp; "")&gt;0</formula>
    </cfRule>
    <cfRule type="expression" dxfId="546" priority="20">
      <formula>AND(COUNTIF(G29:L29,"&lt;&gt;" &amp; "")&gt;0,NOT(ISBLANK(E29)))</formula>
    </cfRule>
  </conditionalFormatting>
  <conditionalFormatting sqref="E32">
    <cfRule type="expression" dxfId="545" priority="21">
      <formula>COUNTIF(G32:L32,"&lt;&gt;" &amp; "")&gt;0</formula>
    </cfRule>
    <cfRule type="expression" dxfId="544" priority="22">
      <formula>AND(COUNTIF(G32:L32,"&lt;&gt;" &amp; "")&gt;0,NOT(ISBLANK(E32)))</formula>
    </cfRule>
  </conditionalFormatting>
  <conditionalFormatting sqref="E35">
    <cfRule type="expression" dxfId="543" priority="23">
      <formula>COUNTIF(G35:L35,"&lt;&gt;" &amp; "")&gt;0</formula>
    </cfRule>
    <cfRule type="expression" dxfId="542" priority="24">
      <formula>AND(COUNTIF(G35:L35,"&lt;&gt;" &amp; "")&gt;0,NOT(ISBLANK(E35)))</formula>
    </cfRule>
  </conditionalFormatting>
  <conditionalFormatting sqref="E38">
    <cfRule type="expression" dxfId="541" priority="25">
      <formula>COUNTIF(G38:L38,"&lt;&gt;" &amp; "")&gt;0</formula>
    </cfRule>
    <cfRule type="expression" dxfId="540" priority="26">
      <formula>AND(COUNTIF(G38:L38,"&lt;&gt;" &amp; "")&gt;0,NOT(ISBLANK(E38)))</formula>
    </cfRule>
  </conditionalFormatting>
  <conditionalFormatting sqref="E41">
    <cfRule type="expression" dxfId="539" priority="12">
      <formula>AND(COUNTIF(G41:L41,"&lt;&gt;" &amp; "")&gt;0,NOT(ISBLANK(E41)))</formula>
    </cfRule>
    <cfRule type="expression" dxfId="538" priority="11">
      <formula>COUNTIF(G41:L41,"&lt;&gt;" &amp; "")&gt;0</formula>
    </cfRule>
  </conditionalFormatting>
  <conditionalFormatting sqref="E44">
    <cfRule type="expression" dxfId="537" priority="14">
      <formula>AND(COUNTIF(G44:L44,"&lt;&gt;" &amp; "")&gt;0,NOT(ISBLANK(E44)))</formula>
    </cfRule>
    <cfRule type="expression" dxfId="536" priority="13">
      <formula>COUNTIF(G44:L44,"&lt;&gt;" &amp; "")&gt;0</formula>
    </cfRule>
  </conditionalFormatting>
  <conditionalFormatting sqref="E47">
    <cfRule type="expression" dxfId="535" priority="16">
      <formula>AND(COUNTIF(G47:L47,"&lt;&gt;" &amp; "")&gt;0,NOT(ISBLANK(E47)))</formula>
    </cfRule>
    <cfRule type="expression" dxfId="534" priority="15">
      <formula>COUNTIF(G47:L47,"&lt;&gt;" &amp; "")&gt;0</formula>
    </cfRule>
  </conditionalFormatting>
  <conditionalFormatting sqref="E50">
    <cfRule type="expression" dxfId="533" priority="17">
      <formula>COUNTIF(G50:L50,"&lt;&gt;" &amp; "")&gt;0</formula>
    </cfRule>
    <cfRule type="expression" dxfId="532" priority="18">
      <formula>AND(COUNTIF(G50:L50,"&lt;&gt;" &amp; "")&gt;0,NOT(ISBLANK(E50)))</formula>
    </cfRule>
  </conditionalFormatting>
  <conditionalFormatting sqref="E53">
    <cfRule type="expression" dxfId="531" priority="69">
      <formula>COUNTIF(G53:L53,"&lt;&gt;" &amp; "")&gt;0</formula>
    </cfRule>
    <cfRule type="expression" dxfId="530" priority="70">
      <formula>AND(COUNTIF(G53:L53,"&lt;&gt;" &amp; "")&gt;0,NOT(ISBLANK(E53)))</formula>
    </cfRule>
  </conditionalFormatting>
  <conditionalFormatting sqref="E59">
    <cfRule type="expression" dxfId="529" priority="73">
      <formula>COUNTIF(G59:L59,"&lt;&gt;" &amp; "")&gt;0</formula>
    </cfRule>
    <cfRule type="expression" dxfId="528" priority="74">
      <formula>AND(COUNTIF(G59:L59,"&lt;&gt;" &amp; "")&gt;0,NOT(ISBLANK(E59)))</formula>
    </cfRule>
  </conditionalFormatting>
  <conditionalFormatting sqref="E62">
    <cfRule type="expression" dxfId="527" priority="75">
      <formula>COUNTIF(G62:L62,"&lt;&gt;" &amp; "")&gt;0</formula>
    </cfRule>
    <cfRule type="expression" dxfId="526" priority="76">
      <formula>AND(COUNTIF(G62:L62,"&lt;&gt;" &amp; "")&gt;0,NOT(ISBLANK(E62)))</formula>
    </cfRule>
  </conditionalFormatting>
  <conditionalFormatting sqref="E65">
    <cfRule type="expression" dxfId="525" priority="81">
      <formula>COUNTIF(G65:L65,"&lt;&gt;" &amp; "")&gt;0</formula>
    </cfRule>
    <cfRule type="expression" dxfId="524" priority="82">
      <formula>AND(COUNTIF(G65:L65,"&lt;&gt;" &amp; "")&gt;0,NOT(ISBLANK(E65)))</formula>
    </cfRule>
  </conditionalFormatting>
  <conditionalFormatting sqref="E68">
    <cfRule type="expression" dxfId="523" priority="83">
      <formula>COUNTIF(G68:L68,"&lt;&gt;" &amp; "")&gt;0</formula>
    </cfRule>
    <cfRule type="expression" dxfId="522" priority="84">
      <formula>AND(COUNTIF(G68:L68,"&lt;&gt;" &amp; "")&gt;0,NOT(ISBLANK(E68)))</formula>
    </cfRule>
  </conditionalFormatting>
  <conditionalFormatting sqref="E71">
    <cfRule type="expression" dxfId="521" priority="1">
      <formula>COUNTIF(G71:L71,"&lt;&gt;" &amp; "")&gt;0</formula>
    </cfRule>
    <cfRule type="expression" dxfId="520" priority="2">
      <formula>AND(COUNTIF(G71:L71,"&lt;&gt;" &amp; "")&gt;0,NOT(ISBLANK(E71)))</formula>
    </cfRule>
  </conditionalFormatting>
  <conditionalFormatting sqref="E74">
    <cfRule type="expression" dxfId="519" priority="87">
      <formula>COUNTIF(G74:L74,"&lt;&gt;" &amp; "")&gt;0</formula>
    </cfRule>
    <cfRule type="expression" dxfId="518" priority="88">
      <formula>AND(COUNTIF(G74:L74,"&lt;&gt;" &amp; "")&gt;0,NOT(ISBLANK(E74)))</formula>
    </cfRule>
  </conditionalFormatting>
  <conditionalFormatting sqref="E77">
    <cfRule type="expression" dxfId="517" priority="89">
      <formula>COUNTIF(G77:L77,"&lt;&gt;" &amp; "")&gt;0</formula>
    </cfRule>
    <cfRule type="expression" dxfId="516" priority="90">
      <formula>AND(COUNTIF(G77:L77,"&lt;&gt;" &amp; "")&gt;0,NOT(ISBLANK(E77)))</formula>
    </cfRule>
  </conditionalFormatting>
  <conditionalFormatting sqref="E80">
    <cfRule type="expression" dxfId="515" priority="91">
      <formula>COUNTIF(G80:L80,"&lt;&gt;" &amp; "")&gt;0</formula>
    </cfRule>
    <cfRule type="expression" dxfId="514" priority="92">
      <formula>AND(COUNTIF(G80:L80,"&lt;&gt;" &amp; "")&gt;0,NOT(ISBLANK(E80)))</formula>
    </cfRule>
  </conditionalFormatting>
  <conditionalFormatting sqref="E83">
    <cfRule type="expression" dxfId="513" priority="97">
      <formula>COUNTIF(G83:L83,"&lt;&gt;" &amp; "")&gt;0</formula>
    </cfRule>
    <cfRule type="expression" dxfId="512" priority="98">
      <formula>AND(COUNTIF(G83:L83,"&lt;&gt;" &amp; "")&gt;0,NOT(ISBLANK(E83)))</formula>
    </cfRule>
  </conditionalFormatting>
  <conditionalFormatting sqref="E86">
    <cfRule type="expression" dxfId="511" priority="99">
      <formula>COUNTIF(G86:L86,"&lt;&gt;" &amp; "")&gt;0</formula>
    </cfRule>
    <cfRule type="expression" dxfId="510" priority="100">
      <formula>AND(COUNTIF(G86:L86,"&lt;&gt;" &amp; "")&gt;0,NOT(ISBLANK(E86)))</formula>
    </cfRule>
  </conditionalFormatting>
  <conditionalFormatting sqref="E89">
    <cfRule type="expression" dxfId="509" priority="101">
      <formula>COUNTIF(G89:L89,"&lt;&gt;" &amp; "")&gt;0</formula>
    </cfRule>
    <cfRule type="expression" dxfId="508" priority="102">
      <formula>AND(COUNTIF(G89:L89,"&lt;&gt;" &amp; "")&gt;0,NOT(ISBLANK(E89)))</formula>
    </cfRule>
  </conditionalFormatting>
  <conditionalFormatting sqref="E92">
    <cfRule type="expression" dxfId="507" priority="103">
      <formula>COUNTIF(G92:L92,"&lt;&gt;" &amp; "")&gt;0</formula>
    </cfRule>
    <cfRule type="expression" dxfId="506" priority="104">
      <formula>AND(COUNTIF(G92:L92,"&lt;&gt;" &amp; "")&gt;0,NOT(ISBLANK(E92)))</formula>
    </cfRule>
  </conditionalFormatting>
  <conditionalFormatting sqref="E95">
    <cfRule type="expression" dxfId="505" priority="105">
      <formula>COUNTIF(G95:L95,"&lt;&gt;" &amp; "")&gt;0</formula>
    </cfRule>
    <cfRule type="expression" dxfId="504" priority="106">
      <formula>AND(COUNTIF(G95:L95,"&lt;&gt;" &amp; "")&gt;0,NOT(ISBLANK(E95)))</formula>
    </cfRule>
  </conditionalFormatting>
  <conditionalFormatting sqref="E98">
    <cfRule type="expression" dxfId="503" priority="107">
      <formula>COUNTIF(G98:L98,"&lt;&gt;" &amp; "")&gt;0</formula>
    </cfRule>
    <cfRule type="expression" dxfId="502" priority="108">
      <formula>AND(COUNTIF(G98:L98,"&lt;&gt;" &amp; "")&gt;0,NOT(ISBLANK(E98)))</formula>
    </cfRule>
  </conditionalFormatting>
  <conditionalFormatting sqref="E110">
    <cfRule type="expression" dxfId="501" priority="4">
      <formula>AND(COUNTIF(G110:L110,"&lt;&gt;" &amp; "")&gt;0,NOT(ISBLANK(E110)))</formula>
    </cfRule>
    <cfRule type="expression" dxfId="500" priority="3">
      <formula>COUNTIF(G110:L110,"&lt;&gt;" &amp; "")&gt;0</formula>
    </cfRule>
  </conditionalFormatting>
  <conditionalFormatting sqref="E113">
    <cfRule type="expression" dxfId="499" priority="6">
      <formula>AND(COUNTIF(G113:L113,"&lt;&gt;" &amp; "")&gt;0,NOT(ISBLANK(E113)))</formula>
    </cfRule>
    <cfRule type="expression" dxfId="498" priority="5">
      <formula>COUNTIF(G113:L113,"&lt;&gt;" &amp; "")&gt;0</formula>
    </cfRule>
  </conditionalFormatting>
  <conditionalFormatting sqref="E116">
    <cfRule type="expression" dxfId="497" priority="8">
      <formula>AND(COUNTIF(G116:L116,"&lt;&gt;" &amp; "")&gt;0,NOT(ISBLANK(E116)))</formula>
    </cfRule>
    <cfRule type="expression" dxfId="496" priority="7">
      <formula>COUNTIF(G116:L116,"&lt;&gt;" &amp; "")&gt;0</formula>
    </cfRule>
  </conditionalFormatting>
  <conditionalFormatting sqref="E119">
    <cfRule type="expression" dxfId="495" priority="9">
      <formula>COUNTIF(G119:L119,"&lt;&gt;" &amp; "")&gt;0</formula>
    </cfRule>
    <cfRule type="expression" dxfId="494" priority="10">
      <formula>AND(COUNTIF(G119:L119,"&lt;&gt;" &amp; "")&gt;0,NOT(ISBLANK(E119)))</formula>
    </cfRule>
  </conditionalFormatting>
  <dataValidations count="2">
    <dataValidation type="list" allowBlank="1" showInputMessage="1" showErrorMessage="1" sqref="C2 C98 C95 C92 C89 C86 C83 C80 C77 C74 C71 C68 C65 C62 C59 C56 C53 C26 C23 C20 C17 C14 C11 C8 C5 C38 C35 C32 C29 C50 C47 C44 C41 C110 C119 C116 C113" xr:uid="{00000000-0002-0000-0C00-000000000000}">
      <formula1>"Proportion"</formula1>
    </dataValidation>
    <dataValidation type="list" allowBlank="1" showInputMessage="1" showErrorMessage="1" sqref="C101 C104 C107" xr:uid="{7E84CEA0-E00B-46AE-890B-F2E6C7BDD7B5}">
      <formula1>"Number"</formula1>
    </dataValidation>
  </dataValidations>
  <pageMargins left="0.7" right="0.7" top="0.75" bottom="0.75" header="0.3" footer="0.3"/>
  <pageSetup paperSize="9" orientation="portrait"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08080"/>
  </sheetPr>
  <dimension ref="A1:L26"/>
  <sheetViews>
    <sheetView workbookViewId="0">
      <selection activeCell="E15" sqref="E15"/>
    </sheetView>
  </sheetViews>
  <sheetFormatPr defaultRowHeight="14.5" x14ac:dyDescent="0.35"/>
  <cols>
    <col min="1" max="1" width="91.81640625" customWidth="1"/>
    <col min="2" max="2" width="30.26953125" customWidth="1"/>
    <col min="3" max="3" width="19.26953125" customWidth="1"/>
    <col min="4" max="4" width="13.81640625" customWidth="1"/>
    <col min="5" max="5" width="10.54296875" customWidth="1"/>
    <col min="6" max="6" width="3.81640625" customWidth="1"/>
    <col min="7" max="12" width="9.453125" customWidth="1"/>
  </cols>
  <sheetData>
    <row r="1" spans="1:12" x14ac:dyDescent="0.35">
      <c r="A1" s="1" t="s">
        <v>141</v>
      </c>
      <c r="B1" s="1" t="s">
        <v>28</v>
      </c>
      <c r="C1" s="1" t="s">
        <v>29</v>
      </c>
      <c r="D1" s="1" t="s">
        <v>30</v>
      </c>
      <c r="E1" s="1" t="s">
        <v>31</v>
      </c>
      <c r="F1" s="1"/>
      <c r="G1" s="1">
        <v>2020</v>
      </c>
      <c r="H1" s="1">
        <v>2021</v>
      </c>
      <c r="I1" s="1">
        <v>2022</v>
      </c>
      <c r="J1" s="1">
        <v>2023</v>
      </c>
      <c r="K1" s="1">
        <v>2024</v>
      </c>
      <c r="L1" s="1">
        <v>2025</v>
      </c>
    </row>
    <row r="2" spans="1:12" x14ac:dyDescent="0.35">
      <c r="A2" s="1" t="str">
        <f>'Population Definitions'!$A$15</f>
        <v>stunting_hm</v>
      </c>
      <c r="B2" t="s">
        <v>32</v>
      </c>
      <c r="C2" t="s">
        <v>36</v>
      </c>
      <c r="D2" s="3"/>
      <c r="E2" s="3">
        <v>0.11</v>
      </c>
      <c r="F2" s="4" t="s">
        <v>34</v>
      </c>
      <c r="H2" s="3"/>
      <c r="I2" s="3"/>
      <c r="J2" s="3"/>
      <c r="K2" s="3"/>
      <c r="L2" s="3"/>
    </row>
    <row r="4" spans="1:12" x14ac:dyDescent="0.35">
      <c r="A4" s="1" t="s">
        <v>142</v>
      </c>
      <c r="B4" s="1" t="s">
        <v>28</v>
      </c>
      <c r="C4" s="1" t="s">
        <v>29</v>
      </c>
      <c r="D4" s="1" t="s">
        <v>30</v>
      </c>
      <c r="E4" s="1" t="s">
        <v>31</v>
      </c>
      <c r="F4" s="1"/>
      <c r="G4" s="1">
        <v>2020</v>
      </c>
      <c r="H4" s="1">
        <v>2021</v>
      </c>
      <c r="I4" s="1">
        <v>2022</v>
      </c>
      <c r="J4" s="1">
        <v>2023</v>
      </c>
      <c r="K4" s="1">
        <v>2024</v>
      </c>
      <c r="L4" s="1">
        <v>2025</v>
      </c>
    </row>
    <row r="5" spans="1:12" x14ac:dyDescent="0.35">
      <c r="A5" s="1" t="str">
        <f>'Population Definitions'!$A$15</f>
        <v>stunting_hm</v>
      </c>
      <c r="B5" t="s">
        <v>32</v>
      </c>
      <c r="C5" t="s">
        <v>36</v>
      </c>
      <c r="D5" s="3"/>
      <c r="E5" s="3">
        <v>1.25</v>
      </c>
      <c r="F5" s="4" t="s">
        <v>34</v>
      </c>
      <c r="G5" s="3"/>
      <c r="H5" s="3"/>
      <c r="I5" s="3"/>
      <c r="J5" s="3"/>
      <c r="K5" s="3"/>
      <c r="L5" s="3"/>
    </row>
    <row r="7" spans="1:12" x14ac:dyDescent="0.35">
      <c r="A7" s="1" t="s">
        <v>365</v>
      </c>
      <c r="B7" s="1" t="s">
        <v>28</v>
      </c>
      <c r="C7" s="1" t="s">
        <v>29</v>
      </c>
      <c r="D7" s="1" t="s">
        <v>30</v>
      </c>
      <c r="E7" s="1" t="s">
        <v>31</v>
      </c>
      <c r="F7" s="1"/>
      <c r="G7" s="1">
        <v>2020</v>
      </c>
      <c r="H7" s="1">
        <v>2021</v>
      </c>
      <c r="I7" s="1">
        <v>2022</v>
      </c>
      <c r="J7" s="1">
        <v>2023</v>
      </c>
      <c r="K7" s="1">
        <v>2024</v>
      </c>
      <c r="L7" s="1">
        <v>2025</v>
      </c>
    </row>
    <row r="8" spans="1:12" x14ac:dyDescent="0.35">
      <c r="A8" s="1" t="str">
        <f>'Population Definitions'!$A$15</f>
        <v>stunting_hm</v>
      </c>
      <c r="B8" t="s">
        <v>32</v>
      </c>
      <c r="C8" t="s">
        <v>36</v>
      </c>
      <c r="D8" s="3"/>
      <c r="E8" s="3">
        <v>1.93</v>
      </c>
      <c r="F8" s="4" t="s">
        <v>34</v>
      </c>
      <c r="G8" s="3"/>
      <c r="H8" s="3"/>
      <c r="I8" s="3"/>
      <c r="J8" s="3"/>
      <c r="K8" s="3"/>
      <c r="L8" s="3"/>
    </row>
    <row r="10" spans="1:12" x14ac:dyDescent="0.35">
      <c r="A10" s="1" t="s">
        <v>366</v>
      </c>
      <c r="B10" s="1" t="s">
        <v>28</v>
      </c>
      <c r="C10" s="1" t="s">
        <v>29</v>
      </c>
      <c r="D10" s="1" t="s">
        <v>30</v>
      </c>
      <c r="E10" s="1" t="s">
        <v>31</v>
      </c>
      <c r="F10" s="1"/>
      <c r="G10" s="1">
        <v>2020</v>
      </c>
      <c r="H10" s="1">
        <v>2021</v>
      </c>
      <c r="I10" s="1">
        <v>2022</v>
      </c>
      <c r="J10" s="1">
        <v>2023</v>
      </c>
      <c r="K10" s="1">
        <v>2024</v>
      </c>
      <c r="L10" s="1">
        <v>2025</v>
      </c>
    </row>
    <row r="11" spans="1:12" x14ac:dyDescent="0.35">
      <c r="A11" s="1" t="str">
        <f>'Population Definitions'!$A$15</f>
        <v>stunting_hm</v>
      </c>
      <c r="B11" t="s">
        <v>32</v>
      </c>
      <c r="C11" t="s">
        <v>36</v>
      </c>
      <c r="D11" s="3"/>
      <c r="E11" s="3">
        <v>2.4300000000000002</v>
      </c>
      <c r="F11" s="4" t="s">
        <v>34</v>
      </c>
      <c r="G11" s="3"/>
      <c r="H11" s="3"/>
      <c r="I11" s="3"/>
      <c r="J11" s="3"/>
      <c r="K11" s="3"/>
      <c r="L11" s="3"/>
    </row>
    <row r="13" spans="1:12" x14ac:dyDescent="0.35">
      <c r="A13" s="1" t="s">
        <v>226</v>
      </c>
      <c r="B13" s="1" t="s">
        <v>28</v>
      </c>
      <c r="C13" s="1" t="s">
        <v>29</v>
      </c>
      <c r="D13" s="1" t="s">
        <v>30</v>
      </c>
      <c r="E13" s="1" t="s">
        <v>31</v>
      </c>
      <c r="F13" s="1"/>
      <c r="G13" s="1">
        <v>2020</v>
      </c>
      <c r="H13" s="1">
        <v>2021</v>
      </c>
      <c r="I13" s="1">
        <v>2022</v>
      </c>
      <c r="J13" s="1">
        <v>2023</v>
      </c>
      <c r="K13" s="1">
        <v>2024</v>
      </c>
      <c r="L13" s="1">
        <v>2025</v>
      </c>
    </row>
    <row r="14" spans="1:12" x14ac:dyDescent="0.35">
      <c r="A14" s="1" t="str">
        <f>'Population Definitions'!$A$15</f>
        <v>stunting_hm</v>
      </c>
      <c r="B14" t="s">
        <v>32</v>
      </c>
      <c r="C14" t="s">
        <v>64</v>
      </c>
      <c r="D14" s="3"/>
      <c r="E14" s="7">
        <v>8.7999999999999995E-2</v>
      </c>
      <c r="F14" s="4" t="s">
        <v>34</v>
      </c>
      <c r="G14" s="3"/>
      <c r="H14" s="3"/>
      <c r="I14" s="3"/>
      <c r="J14" s="3"/>
      <c r="K14" s="3"/>
      <c r="L14" s="3"/>
    </row>
    <row r="15" spans="1:12" ht="16.5" x14ac:dyDescent="0.35">
      <c r="E15" s="21"/>
    </row>
    <row r="16" spans="1:12" x14ac:dyDescent="0.35">
      <c r="A16" s="1" t="s">
        <v>358</v>
      </c>
      <c r="B16" s="1" t="s">
        <v>28</v>
      </c>
      <c r="C16" s="1" t="s">
        <v>29</v>
      </c>
      <c r="D16" s="1" t="s">
        <v>30</v>
      </c>
      <c r="E16" s="1" t="s">
        <v>31</v>
      </c>
      <c r="F16" s="1"/>
      <c r="G16" s="1">
        <v>2020</v>
      </c>
      <c r="H16" s="1">
        <v>2021</v>
      </c>
      <c r="I16" s="1">
        <v>2022</v>
      </c>
      <c r="J16" s="1">
        <v>2023</v>
      </c>
      <c r="K16" s="1">
        <v>2024</v>
      </c>
      <c r="L16" s="1">
        <v>2025</v>
      </c>
    </row>
    <row r="17" spans="1:12" x14ac:dyDescent="0.35">
      <c r="A17" s="1" t="str">
        <f>'[6]Population Definitions'!$A$15</f>
        <v>stunting_hm</v>
      </c>
      <c r="B17" t="s">
        <v>32</v>
      </c>
      <c r="C17" t="s">
        <v>36</v>
      </c>
      <c r="D17" s="3"/>
      <c r="E17" s="3">
        <v>0</v>
      </c>
      <c r="F17" s="4" t="s">
        <v>34</v>
      </c>
      <c r="G17" s="3"/>
      <c r="H17" s="3"/>
      <c r="I17" s="3"/>
      <c r="J17" s="3"/>
      <c r="K17" s="3"/>
      <c r="L17" s="3"/>
    </row>
    <row r="19" spans="1:12" x14ac:dyDescent="0.35">
      <c r="A19" s="1" t="s">
        <v>359</v>
      </c>
      <c r="B19" s="1" t="s">
        <v>28</v>
      </c>
      <c r="C19" s="1" t="s">
        <v>29</v>
      </c>
      <c r="D19" s="1" t="s">
        <v>30</v>
      </c>
      <c r="E19" s="1" t="s">
        <v>31</v>
      </c>
      <c r="F19" s="1"/>
      <c r="G19" s="1">
        <v>2020</v>
      </c>
      <c r="H19" s="1">
        <v>2021</v>
      </c>
      <c r="I19" s="1">
        <v>2022</v>
      </c>
      <c r="J19" s="1">
        <v>2023</v>
      </c>
      <c r="K19" s="1">
        <v>2024</v>
      </c>
      <c r="L19" s="1">
        <v>2025</v>
      </c>
    </row>
    <row r="20" spans="1:12" x14ac:dyDescent="0.35">
      <c r="A20" s="1" t="str">
        <f>'[6]Population Definitions'!$A$15</f>
        <v>stunting_hm</v>
      </c>
      <c r="B20" t="s">
        <v>32</v>
      </c>
      <c r="C20" t="s">
        <v>36</v>
      </c>
      <c r="D20" s="3"/>
      <c r="E20" s="3">
        <v>0</v>
      </c>
      <c r="F20" s="4" t="s">
        <v>34</v>
      </c>
      <c r="G20" s="3"/>
      <c r="H20" s="3"/>
      <c r="I20" s="3"/>
      <c r="J20" s="3"/>
      <c r="K20" s="3"/>
      <c r="L20" s="3"/>
    </row>
    <row r="22" spans="1:12" x14ac:dyDescent="0.35">
      <c r="A22" s="1" t="s">
        <v>360</v>
      </c>
      <c r="B22" s="1" t="s">
        <v>28</v>
      </c>
      <c r="C22" s="1" t="s">
        <v>29</v>
      </c>
      <c r="D22" s="1" t="s">
        <v>30</v>
      </c>
      <c r="E22" s="1" t="s">
        <v>31</v>
      </c>
      <c r="F22" s="1"/>
      <c r="G22" s="1">
        <v>2020</v>
      </c>
      <c r="H22" s="1">
        <v>2021</v>
      </c>
      <c r="I22" s="1">
        <v>2022</v>
      </c>
      <c r="J22" s="1">
        <v>2023</v>
      </c>
      <c r="K22" s="1">
        <v>2024</v>
      </c>
      <c r="L22" s="1">
        <v>2025</v>
      </c>
    </row>
    <row r="23" spans="1:12" x14ac:dyDescent="0.35">
      <c r="A23" s="1" t="str">
        <f>'[6]Population Definitions'!$A$15</f>
        <v>stunting_hm</v>
      </c>
      <c r="B23" t="s">
        <v>32</v>
      </c>
      <c r="C23" t="s">
        <v>36</v>
      </c>
      <c r="D23" s="3"/>
      <c r="E23" s="3">
        <v>0</v>
      </c>
      <c r="F23" s="4" t="s">
        <v>34</v>
      </c>
      <c r="G23" s="3"/>
      <c r="H23" s="3"/>
      <c r="I23" s="3"/>
      <c r="J23" s="3"/>
      <c r="K23" s="3"/>
      <c r="L23" s="3"/>
    </row>
    <row r="25" spans="1:12" x14ac:dyDescent="0.35">
      <c r="A25" s="1" t="s">
        <v>361</v>
      </c>
      <c r="B25" s="1" t="s">
        <v>28</v>
      </c>
      <c r="C25" s="1" t="s">
        <v>29</v>
      </c>
      <c r="D25" s="1" t="s">
        <v>30</v>
      </c>
      <c r="E25" s="1" t="s">
        <v>31</v>
      </c>
      <c r="F25" s="1"/>
      <c r="G25" s="1">
        <v>2020</v>
      </c>
      <c r="H25" s="1">
        <v>2021</v>
      </c>
      <c r="I25" s="1">
        <v>2022</v>
      </c>
      <c r="J25" s="1">
        <v>2023</v>
      </c>
      <c r="K25" s="1">
        <v>2024</v>
      </c>
      <c r="L25" s="1">
        <v>2025</v>
      </c>
    </row>
    <row r="26" spans="1:12" x14ac:dyDescent="0.35">
      <c r="A26" s="1" t="str">
        <f>'[6]Population Definitions'!$A$15</f>
        <v>stunting_hm</v>
      </c>
      <c r="B26" t="s">
        <v>32</v>
      </c>
      <c r="C26" t="s">
        <v>36</v>
      </c>
      <c r="D26" s="3"/>
      <c r="E26" s="3">
        <v>0</v>
      </c>
      <c r="F26" s="4" t="s">
        <v>34</v>
      </c>
      <c r="G26" s="3"/>
      <c r="H26" s="3"/>
      <c r="I26" s="3"/>
      <c r="J26" s="3"/>
      <c r="K26" s="3"/>
      <c r="L26" s="3"/>
    </row>
  </sheetData>
  <conditionalFormatting sqref="E2">
    <cfRule type="expression" dxfId="493" priority="15">
      <formula>COUNTIF(G2:L2,"&lt;&gt;" &amp; "")&gt;0</formula>
    </cfRule>
    <cfRule type="expression" dxfId="492" priority="16">
      <formula>AND(COUNTIF(G2:L2,"&lt;&gt;" &amp; "")&gt;0,NOT(ISBLANK(E2)))</formula>
    </cfRule>
  </conditionalFormatting>
  <conditionalFormatting sqref="E5">
    <cfRule type="expression" dxfId="491" priority="21">
      <formula>COUNTIF(G5:L5,"&lt;&gt;" &amp; "")&gt;0</formula>
    </cfRule>
    <cfRule type="expression" dxfId="490" priority="22">
      <formula>AND(COUNTIF(G5:L5,"&lt;&gt;" &amp; "")&gt;0,NOT(ISBLANK(E5)))</formula>
    </cfRule>
  </conditionalFormatting>
  <conditionalFormatting sqref="E8">
    <cfRule type="expression" dxfId="489" priority="5">
      <formula>COUNTIF(G8:L8,"&lt;&gt;" &amp; "")&gt;0</formula>
    </cfRule>
    <cfRule type="expression" dxfId="488" priority="6">
      <formula>AND(COUNTIF(G8:L8,"&lt;&gt;" &amp; "")&gt;0,NOT(ISBLANK(E8)))</formula>
    </cfRule>
  </conditionalFormatting>
  <conditionalFormatting sqref="E11">
    <cfRule type="expression" dxfId="487" priority="3">
      <formula>COUNTIF(G11:L11,"&lt;&gt;" &amp; "")&gt;0</formula>
    </cfRule>
    <cfRule type="expression" dxfId="486" priority="4">
      <formula>AND(COUNTIF(G11:L11,"&lt;&gt;" &amp; "")&gt;0,NOT(ISBLANK(E11)))</formula>
    </cfRule>
  </conditionalFormatting>
  <conditionalFormatting sqref="E17">
    <cfRule type="expression" dxfId="485" priority="7">
      <formula>COUNTIF(G17:L17,"&lt;&gt;" &amp; "")&gt;0</formula>
    </cfRule>
    <cfRule type="expression" dxfId="484" priority="8">
      <formula>AND(COUNTIF(G17:L17,"&lt;&gt;" &amp; "")&gt;0,NOT(ISBLANK(E17)))</formula>
    </cfRule>
  </conditionalFormatting>
  <conditionalFormatting sqref="E20">
    <cfRule type="expression" dxfId="483" priority="9">
      <formula>COUNTIF(G20:L20,"&lt;&gt;" &amp; "")&gt;0</formula>
    </cfRule>
    <cfRule type="expression" dxfId="482" priority="10">
      <formula>AND(COUNTIF(G20:L20,"&lt;&gt;" &amp; "")&gt;0,NOT(ISBLANK(E20)))</formula>
    </cfRule>
  </conditionalFormatting>
  <conditionalFormatting sqref="E23">
    <cfRule type="expression" dxfId="481" priority="11">
      <formula>COUNTIF(G23:L23,"&lt;&gt;" &amp; "")&gt;0</formula>
    </cfRule>
    <cfRule type="expression" dxfId="480" priority="12">
      <formula>AND(COUNTIF(G23:L23,"&lt;&gt;" &amp; "")&gt;0,NOT(ISBLANK(E23)))</formula>
    </cfRule>
  </conditionalFormatting>
  <conditionalFormatting sqref="E26">
    <cfRule type="expression" dxfId="479" priority="13">
      <formula>COUNTIF(G26:L26,"&lt;&gt;" &amp; "")&gt;0</formula>
    </cfRule>
    <cfRule type="expression" dxfId="478" priority="14">
      <formula>AND(COUNTIF(G26:L26,"&lt;&gt;" &amp; "")&gt;0,NOT(ISBLANK(E26)))</formula>
    </cfRule>
  </conditionalFormatting>
  <dataValidations count="2">
    <dataValidation type="list" allowBlank="1" showInputMessage="1" showErrorMessage="1" sqref="C2 C5 C26 C23 C20 C17 C8 C11" xr:uid="{00000000-0002-0000-0D00-000001000000}">
      <formula1>"Proportion"</formula1>
    </dataValidation>
    <dataValidation type="list" allowBlank="1" showInputMessage="1" showErrorMessage="1" sqref="C14" xr:uid="{D456AF2D-22E5-4250-9BCE-9017FE78E9C5}">
      <formula1>"Number"</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BF744-1460-45DA-9CFD-F9B6C8DEB3D2}">
  <sheetPr>
    <tabColor rgb="FF808080"/>
  </sheetPr>
  <dimension ref="A1:L44"/>
  <sheetViews>
    <sheetView topLeftCell="A7" workbookViewId="0">
      <selection activeCell="E7" sqref="E1:L1048576"/>
    </sheetView>
  </sheetViews>
  <sheetFormatPr defaultRowHeight="14.5" x14ac:dyDescent="0.35"/>
  <cols>
    <col min="1" max="1" width="105.1796875" customWidth="1"/>
    <col min="2" max="2" width="30.26953125" customWidth="1"/>
    <col min="3" max="3" width="12.7265625" customWidth="1"/>
    <col min="4" max="4" width="13.81640625" customWidth="1"/>
    <col min="5" max="5" width="10.54296875" style="35" customWidth="1"/>
    <col min="6" max="6" width="3.81640625" style="35" customWidth="1"/>
    <col min="7" max="12" width="9.453125" style="35" customWidth="1"/>
  </cols>
  <sheetData>
    <row r="1" spans="1:12" x14ac:dyDescent="0.35">
      <c r="A1" s="1" t="s">
        <v>309</v>
      </c>
      <c r="B1" s="1" t="s">
        <v>28</v>
      </c>
      <c r="C1" s="1" t="s">
        <v>29</v>
      </c>
      <c r="D1" s="1" t="s">
        <v>30</v>
      </c>
      <c r="E1" s="34" t="s">
        <v>31</v>
      </c>
      <c r="F1" s="34"/>
      <c r="G1" s="34">
        <v>2020</v>
      </c>
      <c r="H1" s="34">
        <v>2021</v>
      </c>
      <c r="I1" s="34">
        <v>2022</v>
      </c>
      <c r="J1" s="34">
        <v>2023</v>
      </c>
      <c r="K1" s="34">
        <v>2024</v>
      </c>
      <c r="L1" s="34">
        <v>2025</v>
      </c>
    </row>
    <row r="2" spans="1:12" x14ac:dyDescent="0.35">
      <c r="A2" s="1" t="str">
        <f>'[1]Population Definitions'!$A$7</f>
        <v>preecl_hm</v>
      </c>
      <c r="B2" s="12" t="s">
        <v>322</v>
      </c>
      <c r="C2" t="s">
        <v>36</v>
      </c>
      <c r="D2" s="3"/>
      <c r="E2" s="41">
        <v>0.04</v>
      </c>
      <c r="F2" s="38" t="s">
        <v>34</v>
      </c>
      <c r="G2" s="41"/>
      <c r="H2" s="41"/>
      <c r="I2" s="41"/>
      <c r="J2" s="41"/>
      <c r="K2" s="41"/>
      <c r="L2" s="41"/>
    </row>
    <row r="4" spans="1:12" x14ac:dyDescent="0.35">
      <c r="A4" s="1" t="s">
        <v>310</v>
      </c>
      <c r="B4" s="1" t="s">
        <v>28</v>
      </c>
      <c r="C4" s="1" t="s">
        <v>29</v>
      </c>
      <c r="D4" s="1" t="s">
        <v>30</v>
      </c>
      <c r="E4" s="34" t="s">
        <v>31</v>
      </c>
      <c r="F4" s="34"/>
      <c r="G4" s="34">
        <v>2020</v>
      </c>
      <c r="H4" s="34">
        <v>2021</v>
      </c>
      <c r="I4" s="34">
        <v>2022</v>
      </c>
      <c r="J4" s="34">
        <v>2023</v>
      </c>
      <c r="K4" s="34">
        <v>2024</v>
      </c>
      <c r="L4" s="34">
        <v>2025</v>
      </c>
    </row>
    <row r="5" spans="1:12" x14ac:dyDescent="0.35">
      <c r="A5" s="1" t="str">
        <f>'[1]Population Definitions'!$A$7</f>
        <v>preecl_hm</v>
      </c>
      <c r="B5" s="28" t="s">
        <v>322</v>
      </c>
      <c r="C5" t="s">
        <v>36</v>
      </c>
      <c r="D5" s="3"/>
      <c r="E5" s="43">
        <v>0.1</v>
      </c>
      <c r="F5" s="38" t="s">
        <v>34</v>
      </c>
      <c r="G5" s="41"/>
      <c r="H5" s="41"/>
      <c r="I5" s="41"/>
      <c r="J5" s="41"/>
      <c r="K5" s="41"/>
      <c r="L5" s="41"/>
    </row>
    <row r="7" spans="1:12" x14ac:dyDescent="0.35">
      <c r="A7" s="1" t="s">
        <v>311</v>
      </c>
      <c r="B7" s="1" t="s">
        <v>28</v>
      </c>
      <c r="C7" s="1" t="s">
        <v>29</v>
      </c>
      <c r="D7" s="1" t="s">
        <v>30</v>
      </c>
      <c r="E7" s="34" t="s">
        <v>31</v>
      </c>
      <c r="F7" s="34"/>
      <c r="G7" s="34">
        <v>2020</v>
      </c>
      <c r="H7" s="34">
        <v>2021</v>
      </c>
      <c r="I7" s="34">
        <v>2022</v>
      </c>
      <c r="J7" s="34">
        <v>2023</v>
      </c>
      <c r="K7" s="34">
        <v>2024</v>
      </c>
      <c r="L7" s="34">
        <v>2025</v>
      </c>
    </row>
    <row r="8" spans="1:12" x14ac:dyDescent="0.35">
      <c r="A8" s="1" t="str">
        <f>'[1]Population Definitions'!$A$7</f>
        <v>preecl_hm</v>
      </c>
      <c r="B8" t="s">
        <v>323</v>
      </c>
      <c r="C8" t="s">
        <v>36</v>
      </c>
      <c r="D8" s="3"/>
      <c r="E8" s="36">
        <v>1</v>
      </c>
      <c r="F8" s="38" t="s">
        <v>34</v>
      </c>
      <c r="G8" s="36"/>
      <c r="H8" s="36"/>
      <c r="I8" s="36"/>
      <c r="J8" s="36"/>
      <c r="K8" s="36"/>
      <c r="L8" s="36"/>
    </row>
    <row r="10" spans="1:12" x14ac:dyDescent="0.35">
      <c r="A10" s="1" t="s">
        <v>312</v>
      </c>
      <c r="B10" s="1" t="s">
        <v>28</v>
      </c>
      <c r="C10" s="1" t="s">
        <v>29</v>
      </c>
      <c r="D10" s="1" t="s">
        <v>30</v>
      </c>
      <c r="E10" s="34" t="s">
        <v>31</v>
      </c>
      <c r="F10" s="34"/>
      <c r="G10" s="34">
        <v>2020</v>
      </c>
      <c r="H10" s="34">
        <v>2021</v>
      </c>
      <c r="I10" s="34">
        <v>2022</v>
      </c>
      <c r="J10" s="34">
        <v>2023</v>
      </c>
      <c r="K10" s="34">
        <v>2024</v>
      </c>
      <c r="L10" s="34">
        <v>2025</v>
      </c>
    </row>
    <row r="11" spans="1:12" x14ac:dyDescent="0.35">
      <c r="A11" s="1" t="str">
        <f>'[1]Population Definitions'!$A$7</f>
        <v>preecl_hm</v>
      </c>
      <c r="B11" t="s">
        <v>324</v>
      </c>
      <c r="C11" t="s">
        <v>36</v>
      </c>
      <c r="D11" s="3"/>
      <c r="E11" s="36">
        <v>0</v>
      </c>
      <c r="F11" s="38" t="s">
        <v>34</v>
      </c>
      <c r="G11" s="36"/>
      <c r="H11" s="36"/>
      <c r="I11" s="36"/>
      <c r="J11" s="36"/>
      <c r="K11" s="36"/>
      <c r="L11" s="36"/>
    </row>
    <row r="13" spans="1:12" x14ac:dyDescent="0.35">
      <c r="A13" s="1" t="s">
        <v>313</v>
      </c>
      <c r="B13" s="1" t="s">
        <v>28</v>
      </c>
      <c r="C13" s="1" t="s">
        <v>29</v>
      </c>
      <c r="D13" s="1" t="s">
        <v>30</v>
      </c>
      <c r="E13" s="34" t="s">
        <v>31</v>
      </c>
      <c r="F13" s="34"/>
      <c r="G13" s="34">
        <v>2020</v>
      </c>
      <c r="H13" s="34">
        <v>2021</v>
      </c>
      <c r="I13" s="34">
        <v>2022</v>
      </c>
      <c r="J13" s="34">
        <v>2023</v>
      </c>
      <c r="K13" s="34">
        <v>2024</v>
      </c>
      <c r="L13" s="34">
        <v>2025</v>
      </c>
    </row>
    <row r="14" spans="1:12" x14ac:dyDescent="0.35">
      <c r="A14" s="1" t="str">
        <f>'[1]Population Definitions'!$A$7</f>
        <v>preecl_hm</v>
      </c>
      <c r="B14" s="12" t="s">
        <v>325</v>
      </c>
      <c r="C14" t="s">
        <v>36</v>
      </c>
      <c r="D14" s="3"/>
      <c r="E14" s="36">
        <v>0.3</v>
      </c>
      <c r="F14" s="38" t="s">
        <v>34</v>
      </c>
      <c r="G14" s="36"/>
      <c r="H14" s="36"/>
      <c r="I14" s="36"/>
      <c r="J14" s="36"/>
      <c r="K14" s="36"/>
      <c r="L14" s="36"/>
    </row>
    <row r="16" spans="1:12" x14ac:dyDescent="0.35">
      <c r="A16" s="1" t="s">
        <v>314</v>
      </c>
      <c r="B16" s="1" t="s">
        <v>28</v>
      </c>
      <c r="C16" s="1" t="s">
        <v>29</v>
      </c>
      <c r="D16" s="1" t="s">
        <v>30</v>
      </c>
      <c r="E16" s="34" t="s">
        <v>31</v>
      </c>
      <c r="F16" s="34"/>
      <c r="G16" s="34">
        <v>2020</v>
      </c>
      <c r="H16" s="34">
        <v>2021</v>
      </c>
      <c r="I16" s="34">
        <v>2022</v>
      </c>
      <c r="J16" s="34">
        <v>2023</v>
      </c>
      <c r="K16" s="34">
        <v>2024</v>
      </c>
      <c r="L16" s="34">
        <v>2025</v>
      </c>
    </row>
    <row r="17" spans="1:12" x14ac:dyDescent="0.35">
      <c r="A17" s="1" t="str">
        <f>'[1]Population Definitions'!$A$7</f>
        <v>preecl_hm</v>
      </c>
      <c r="B17" t="s">
        <v>323</v>
      </c>
      <c r="C17" t="s">
        <v>36</v>
      </c>
      <c r="D17" s="3"/>
      <c r="E17" s="41">
        <v>0</v>
      </c>
      <c r="F17" s="38" t="s">
        <v>34</v>
      </c>
      <c r="G17" s="41"/>
      <c r="H17" s="41"/>
      <c r="I17" s="41"/>
      <c r="J17" s="41"/>
      <c r="K17" s="41"/>
      <c r="L17" s="41"/>
    </row>
    <row r="19" spans="1:12" x14ac:dyDescent="0.35">
      <c r="A19" s="1" t="s">
        <v>315</v>
      </c>
      <c r="B19" s="1" t="s">
        <v>28</v>
      </c>
      <c r="C19" s="1" t="s">
        <v>29</v>
      </c>
      <c r="D19" s="1" t="s">
        <v>30</v>
      </c>
      <c r="E19" s="34" t="s">
        <v>31</v>
      </c>
      <c r="F19" s="34"/>
      <c r="G19" s="34">
        <v>2020</v>
      </c>
      <c r="H19" s="34">
        <v>2021</v>
      </c>
      <c r="I19" s="34">
        <v>2022</v>
      </c>
      <c r="J19" s="34">
        <v>2023</v>
      </c>
      <c r="K19" s="34">
        <v>2024</v>
      </c>
      <c r="L19" s="34">
        <v>2025</v>
      </c>
    </row>
    <row r="20" spans="1:12" x14ac:dyDescent="0.35">
      <c r="A20" s="1" t="str">
        <f>'[1]Population Definitions'!$A$7</f>
        <v>preecl_hm</v>
      </c>
      <c r="B20" t="s">
        <v>323</v>
      </c>
      <c r="C20" t="s">
        <v>36</v>
      </c>
      <c r="D20" s="3"/>
      <c r="E20" s="41">
        <v>0</v>
      </c>
      <c r="F20" s="38" t="s">
        <v>34</v>
      </c>
      <c r="G20" s="41"/>
      <c r="H20" s="41"/>
      <c r="I20" s="41"/>
      <c r="J20" s="41"/>
      <c r="K20" s="41"/>
      <c r="L20" s="41"/>
    </row>
    <row r="22" spans="1:12" x14ac:dyDescent="0.35">
      <c r="A22" s="1" t="s">
        <v>316</v>
      </c>
      <c r="B22" s="1" t="s">
        <v>28</v>
      </c>
      <c r="C22" s="1" t="s">
        <v>29</v>
      </c>
      <c r="D22" s="1" t="s">
        <v>30</v>
      </c>
      <c r="E22" s="34" t="s">
        <v>31</v>
      </c>
      <c r="F22" s="34"/>
      <c r="G22" s="34">
        <v>2020</v>
      </c>
      <c r="H22" s="34">
        <v>2021</v>
      </c>
      <c r="I22" s="34">
        <v>2022</v>
      </c>
      <c r="J22" s="34">
        <v>2023</v>
      </c>
      <c r="K22" s="34">
        <v>2024</v>
      </c>
      <c r="L22" s="34">
        <v>2025</v>
      </c>
    </row>
    <row r="23" spans="1:12" x14ac:dyDescent="0.35">
      <c r="A23" s="1" t="str">
        <f>'[1]Population Definitions'!$A$7</f>
        <v>preecl_hm</v>
      </c>
      <c r="B23" t="s">
        <v>326</v>
      </c>
      <c r="C23" t="s">
        <v>36</v>
      </c>
      <c r="D23" s="3"/>
      <c r="E23" s="41">
        <v>1E-3</v>
      </c>
      <c r="F23" s="38" t="s">
        <v>34</v>
      </c>
      <c r="G23" s="41"/>
      <c r="H23" s="41"/>
      <c r="I23" s="41"/>
      <c r="J23" s="41"/>
      <c r="K23" s="41"/>
      <c r="L23" s="41"/>
    </row>
    <row r="25" spans="1:12" x14ac:dyDescent="0.35">
      <c r="A25" s="1" t="s">
        <v>317</v>
      </c>
      <c r="B25" s="1" t="s">
        <v>28</v>
      </c>
      <c r="C25" s="1" t="s">
        <v>29</v>
      </c>
      <c r="D25" s="1" t="s">
        <v>30</v>
      </c>
      <c r="E25" s="34" t="s">
        <v>31</v>
      </c>
      <c r="F25" s="34"/>
      <c r="G25" s="34">
        <v>2020</v>
      </c>
      <c r="H25" s="34">
        <v>2021</v>
      </c>
      <c r="I25" s="34">
        <v>2022</v>
      </c>
      <c r="J25" s="34">
        <v>2023</v>
      </c>
      <c r="K25" s="34">
        <v>2024</v>
      </c>
      <c r="L25" s="34">
        <v>2025</v>
      </c>
    </row>
    <row r="26" spans="1:12" x14ac:dyDescent="0.35">
      <c r="A26" s="1" t="str">
        <f>'[1]Population Definitions'!$A$7</f>
        <v>preecl_hm</v>
      </c>
      <c r="B26" t="s">
        <v>327</v>
      </c>
      <c r="C26" t="s">
        <v>36</v>
      </c>
      <c r="D26" s="3"/>
      <c r="E26" s="41">
        <v>0.05</v>
      </c>
      <c r="F26" s="38" t="s">
        <v>34</v>
      </c>
      <c r="G26" s="41"/>
      <c r="H26" s="41"/>
      <c r="I26" s="41"/>
      <c r="J26" s="41"/>
      <c r="K26" s="41"/>
      <c r="L26" s="41"/>
    </row>
    <row r="28" spans="1:12" x14ac:dyDescent="0.35">
      <c r="A28" s="1" t="s">
        <v>318</v>
      </c>
      <c r="B28" s="1" t="s">
        <v>28</v>
      </c>
      <c r="C28" s="1" t="s">
        <v>29</v>
      </c>
      <c r="D28" s="1" t="s">
        <v>30</v>
      </c>
      <c r="E28" s="34" t="s">
        <v>31</v>
      </c>
      <c r="F28" s="34"/>
      <c r="G28" s="34">
        <v>2020</v>
      </c>
      <c r="H28" s="34">
        <v>2021</v>
      </c>
      <c r="I28" s="34">
        <v>2022</v>
      </c>
      <c r="J28" s="34">
        <v>2023</v>
      </c>
      <c r="K28" s="34">
        <v>2024</v>
      </c>
      <c r="L28" s="34">
        <v>2025</v>
      </c>
    </row>
    <row r="29" spans="1:12" x14ac:dyDescent="0.35">
      <c r="A29" s="1" t="str">
        <f>'[1]Population Definitions'!$A$7</f>
        <v>preecl_hm</v>
      </c>
      <c r="B29" t="s">
        <v>323</v>
      </c>
      <c r="C29" t="s">
        <v>36</v>
      </c>
      <c r="D29" s="3"/>
      <c r="E29" s="35">
        <v>0</v>
      </c>
      <c r="F29" s="38" t="s">
        <v>34</v>
      </c>
      <c r="G29" s="41"/>
      <c r="H29" s="41"/>
      <c r="I29" s="41"/>
      <c r="J29" s="41"/>
      <c r="K29" s="41"/>
      <c r="L29" s="41"/>
    </row>
    <row r="31" spans="1:12" x14ac:dyDescent="0.35">
      <c r="A31" s="1" t="s">
        <v>319</v>
      </c>
      <c r="B31" s="1" t="s">
        <v>28</v>
      </c>
      <c r="C31" s="1" t="s">
        <v>29</v>
      </c>
      <c r="D31" s="1" t="s">
        <v>30</v>
      </c>
      <c r="E31" s="34" t="s">
        <v>31</v>
      </c>
      <c r="F31" s="34"/>
      <c r="G31" s="34">
        <v>2020</v>
      </c>
      <c r="H31" s="34">
        <v>2021</v>
      </c>
      <c r="I31" s="34">
        <v>2022</v>
      </c>
      <c r="J31" s="34">
        <v>2023</v>
      </c>
      <c r="K31" s="34">
        <v>2024</v>
      </c>
      <c r="L31" s="34">
        <v>2025</v>
      </c>
    </row>
    <row r="32" spans="1:12" x14ac:dyDescent="0.35">
      <c r="A32" s="1" t="str">
        <f>'[1]Population Definitions'!$A$7</f>
        <v>preecl_hm</v>
      </c>
      <c r="B32" t="s">
        <v>323</v>
      </c>
      <c r="C32" t="s">
        <v>36</v>
      </c>
      <c r="D32" s="3"/>
      <c r="E32" s="35">
        <v>0</v>
      </c>
      <c r="F32" s="38" t="s">
        <v>34</v>
      </c>
      <c r="G32" s="41"/>
      <c r="H32" s="41"/>
      <c r="I32" s="41"/>
      <c r="J32" s="41"/>
      <c r="K32" s="41"/>
      <c r="L32" s="41"/>
    </row>
    <row r="34" spans="1:12" x14ac:dyDescent="0.35">
      <c r="A34" s="1" t="s">
        <v>320</v>
      </c>
      <c r="B34" s="1" t="s">
        <v>28</v>
      </c>
      <c r="C34" s="1" t="s">
        <v>29</v>
      </c>
      <c r="D34" s="1" t="s">
        <v>30</v>
      </c>
      <c r="E34" s="34" t="s">
        <v>31</v>
      </c>
      <c r="F34" s="34"/>
      <c r="G34" s="34">
        <v>2020</v>
      </c>
      <c r="H34" s="34">
        <v>2021</v>
      </c>
      <c r="I34" s="34">
        <v>2022</v>
      </c>
      <c r="J34" s="34">
        <v>2023</v>
      </c>
      <c r="K34" s="34">
        <v>2024</v>
      </c>
      <c r="L34" s="34">
        <v>2025</v>
      </c>
    </row>
    <row r="35" spans="1:12" x14ac:dyDescent="0.35">
      <c r="A35" s="1" t="str">
        <f>'[1]Population Definitions'!$A$7</f>
        <v>preecl_hm</v>
      </c>
      <c r="B35" t="s">
        <v>323</v>
      </c>
      <c r="C35" t="s">
        <v>36</v>
      </c>
      <c r="D35" s="3"/>
      <c r="E35" s="35">
        <v>0</v>
      </c>
      <c r="F35" s="38" t="s">
        <v>34</v>
      </c>
      <c r="G35" s="41"/>
      <c r="H35" s="41"/>
      <c r="I35" s="41"/>
      <c r="J35" s="41"/>
      <c r="K35" s="41"/>
      <c r="L35" s="41"/>
    </row>
    <row r="37" spans="1:12" x14ac:dyDescent="0.35">
      <c r="A37" s="1" t="s">
        <v>321</v>
      </c>
      <c r="B37" s="1" t="s">
        <v>28</v>
      </c>
      <c r="C37" s="1" t="s">
        <v>29</v>
      </c>
      <c r="D37" s="1" t="s">
        <v>30</v>
      </c>
      <c r="E37" s="34" t="s">
        <v>31</v>
      </c>
      <c r="F37" s="34"/>
      <c r="G37" s="34">
        <v>2020</v>
      </c>
      <c r="H37" s="34">
        <v>2021</v>
      </c>
      <c r="I37" s="34">
        <v>2022</v>
      </c>
      <c r="J37" s="34">
        <v>2023</v>
      </c>
      <c r="K37" s="34">
        <v>2024</v>
      </c>
      <c r="L37" s="34">
        <v>2025</v>
      </c>
    </row>
    <row r="38" spans="1:12" x14ac:dyDescent="0.35">
      <c r="A38" s="1" t="str">
        <f>'[1]Population Definitions'!$A$7</f>
        <v>preecl_hm</v>
      </c>
      <c r="B38" t="s">
        <v>323</v>
      </c>
      <c r="C38" t="s">
        <v>36</v>
      </c>
      <c r="D38" s="3"/>
      <c r="E38" s="35">
        <v>0</v>
      </c>
      <c r="F38" s="38" t="s">
        <v>34</v>
      </c>
      <c r="G38" s="41"/>
      <c r="H38" s="41"/>
      <c r="I38" s="41"/>
      <c r="J38" s="41"/>
      <c r="K38" s="41"/>
      <c r="L38" s="41"/>
    </row>
    <row r="40" spans="1:12" x14ac:dyDescent="0.35">
      <c r="A40" s="1" t="s">
        <v>364</v>
      </c>
      <c r="B40" s="1" t="s">
        <v>28</v>
      </c>
      <c r="C40" s="1" t="s">
        <v>29</v>
      </c>
      <c r="D40" s="1" t="s">
        <v>30</v>
      </c>
      <c r="E40" s="34" t="s">
        <v>31</v>
      </c>
      <c r="F40" s="34"/>
      <c r="G40" s="34">
        <v>2020</v>
      </c>
      <c r="H40" s="34">
        <v>2021</v>
      </c>
      <c r="I40" s="34">
        <v>2022</v>
      </c>
      <c r="J40" s="34">
        <v>2023</v>
      </c>
      <c r="K40" s="34">
        <v>2024</v>
      </c>
      <c r="L40" s="34">
        <v>2025</v>
      </c>
    </row>
    <row r="41" spans="1:12" x14ac:dyDescent="0.35">
      <c r="A41" s="1" t="str">
        <f>'[1]Population Definitions'!$A$7</f>
        <v>preecl_hm</v>
      </c>
      <c r="B41" t="s">
        <v>326</v>
      </c>
      <c r="C41" t="s">
        <v>36</v>
      </c>
      <c r="D41" s="3"/>
      <c r="E41" s="41">
        <v>1E-3</v>
      </c>
      <c r="F41" s="38" t="s">
        <v>34</v>
      </c>
      <c r="G41" s="41"/>
      <c r="H41" s="41"/>
      <c r="I41" s="41"/>
      <c r="J41" s="41"/>
      <c r="K41" s="41"/>
      <c r="L41" s="41"/>
    </row>
    <row r="43" spans="1:12" x14ac:dyDescent="0.35">
      <c r="A43" s="1" t="s">
        <v>362</v>
      </c>
      <c r="B43" s="1" t="s">
        <v>28</v>
      </c>
      <c r="C43" s="1" t="s">
        <v>29</v>
      </c>
      <c r="D43" s="1" t="s">
        <v>30</v>
      </c>
      <c r="E43" s="34" t="s">
        <v>31</v>
      </c>
      <c r="F43" s="34"/>
      <c r="G43" s="34">
        <v>2020</v>
      </c>
      <c r="H43" s="34">
        <v>2021</v>
      </c>
      <c r="I43" s="34">
        <v>2022</v>
      </c>
      <c r="J43" s="34">
        <v>2023</v>
      </c>
      <c r="K43" s="34">
        <v>2024</v>
      </c>
      <c r="L43" s="34">
        <v>2025</v>
      </c>
    </row>
    <row r="44" spans="1:12" x14ac:dyDescent="0.35">
      <c r="A44" s="1" t="str">
        <f>'[6]Population Definitions'!$A$7</f>
        <v>preecl_hm</v>
      </c>
      <c r="B44" t="s">
        <v>363</v>
      </c>
      <c r="C44" t="s">
        <v>64</v>
      </c>
      <c r="D44" s="3"/>
      <c r="E44" s="41">
        <v>9.1888509999999996E-3</v>
      </c>
      <c r="F44" s="38" t="s">
        <v>34</v>
      </c>
      <c r="G44" s="41"/>
      <c r="H44" s="41"/>
      <c r="I44" s="41"/>
      <c r="J44" s="41"/>
      <c r="K44" s="41"/>
      <c r="L44" s="41"/>
    </row>
  </sheetData>
  <conditionalFormatting sqref="E2">
    <cfRule type="expression" dxfId="477" priority="5">
      <formula>COUNTIF(G2:L2,"&lt;&gt;" &amp; "")&gt;0</formula>
    </cfRule>
    <cfRule type="expression" dxfId="476" priority="6">
      <formula>AND(COUNTIF(G2:L2,"&lt;&gt;" &amp; "")&gt;0,NOT(ISBLANK(E2)))</formula>
    </cfRule>
  </conditionalFormatting>
  <conditionalFormatting sqref="E8">
    <cfRule type="expression" dxfId="475" priority="7">
      <formula>COUNTIF(G8:L8,"&lt;&gt;" &amp; "")&gt;0</formula>
    </cfRule>
    <cfRule type="expression" dxfId="474" priority="8">
      <formula>AND(COUNTIF(G8:L8,"&lt;&gt;" &amp; "")&gt;0,NOT(ISBLANK(E8)))</formula>
    </cfRule>
  </conditionalFormatting>
  <conditionalFormatting sqref="E11">
    <cfRule type="expression" dxfId="473" priority="9">
      <formula>COUNTIF(G11:L11,"&lt;&gt;" &amp; "")&gt;0</formula>
    </cfRule>
    <cfRule type="expression" dxfId="472" priority="10">
      <formula>AND(COUNTIF(G11:L11,"&lt;&gt;" &amp; "")&gt;0,NOT(ISBLANK(E11)))</formula>
    </cfRule>
  </conditionalFormatting>
  <conditionalFormatting sqref="E14">
    <cfRule type="expression" dxfId="471" priority="11">
      <formula>COUNTIF(G14:L14,"&lt;&gt;" &amp; "")&gt;0</formula>
    </cfRule>
    <cfRule type="expression" dxfId="470" priority="12">
      <formula>AND(COUNTIF(G14:L14,"&lt;&gt;" &amp; "")&gt;0,NOT(ISBLANK(E14)))</formula>
    </cfRule>
  </conditionalFormatting>
  <conditionalFormatting sqref="E17">
    <cfRule type="expression" dxfId="469" priority="13">
      <formula>COUNTIF(G17:L17,"&lt;&gt;" &amp; "")&gt;0</formula>
    </cfRule>
    <cfRule type="expression" dxfId="468" priority="14">
      <formula>AND(COUNTIF(G17:L17,"&lt;&gt;" &amp; "")&gt;0,NOT(ISBLANK(E17)))</formula>
    </cfRule>
  </conditionalFormatting>
  <conditionalFormatting sqref="E20">
    <cfRule type="expression" dxfId="467" priority="15">
      <formula>COUNTIF(G20:L20,"&lt;&gt;" &amp; "")&gt;0</formula>
    </cfRule>
    <cfRule type="expression" dxfId="466" priority="16">
      <formula>AND(COUNTIF(G20:L20,"&lt;&gt;" &amp; "")&gt;0,NOT(ISBLANK(E20)))</formula>
    </cfRule>
  </conditionalFormatting>
  <conditionalFormatting sqref="E23">
    <cfRule type="expression" dxfId="465" priority="1">
      <formula>COUNTIF(G23:L23,"&lt;&gt;" &amp; "")&gt;0</formula>
    </cfRule>
    <cfRule type="expression" dxfId="464" priority="2">
      <formula>AND(COUNTIF(G23:L23,"&lt;&gt;" &amp; "")&gt;0,NOT(ISBLANK(E23)))</formula>
    </cfRule>
  </conditionalFormatting>
  <conditionalFormatting sqref="E26">
    <cfRule type="expression" dxfId="463" priority="19">
      <formula>COUNTIF(G26:L26,"&lt;&gt;" &amp; "")&gt;0</formula>
    </cfRule>
    <cfRule type="expression" dxfId="462" priority="20">
      <formula>AND(COUNTIF(G26:L26,"&lt;&gt;" &amp; "")&gt;0,NOT(ISBLANK(E26)))</formula>
    </cfRule>
  </conditionalFormatting>
  <conditionalFormatting sqref="E41">
    <cfRule type="expression" dxfId="461" priority="29">
      <formula>COUNTIF(G41:L41,"&lt;&gt;" &amp; "")&gt;0</formula>
    </cfRule>
    <cfRule type="expression" dxfId="460" priority="30">
      <formula>AND(COUNTIF(G41:L41,"&lt;&gt;" &amp; "")&gt;0,NOT(ISBLANK(E41)))</formula>
    </cfRule>
  </conditionalFormatting>
  <conditionalFormatting sqref="E44">
    <cfRule type="expression" dxfId="459" priority="3">
      <formula>COUNTIF(G44:L44,"&lt;&gt;" &amp; "")&gt;0</formula>
    </cfRule>
    <cfRule type="expression" dxfId="458" priority="4">
      <formula>AND(COUNTIF(G44:L44,"&lt;&gt;" &amp; "")&gt;0,NOT(ISBLANK(E44)))</formula>
    </cfRule>
  </conditionalFormatting>
  <dataValidations count="2">
    <dataValidation type="list" allowBlank="1" showInputMessage="1" showErrorMessage="1" sqref="C2 C41 C38 C35 C32 C29 C26 C23 C20 C17 C14 C11 C8 C5" xr:uid="{9C9B57FF-62C0-4570-AA31-22322717F48E}">
      <formula1>"Proportion"</formula1>
    </dataValidation>
    <dataValidation type="list" allowBlank="1" showInputMessage="1" showErrorMessage="1" sqref="C44" xr:uid="{3FEB6D9C-8B87-4704-A13E-E4D802EF1056}">
      <formula1>"Number"</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C9D7D-2A8E-4049-BBAF-75C4C39A4A8F}">
  <sheetPr>
    <tabColor rgb="FF808080"/>
  </sheetPr>
  <dimension ref="A1:L11"/>
  <sheetViews>
    <sheetView tabSelected="1" workbookViewId="0">
      <selection sqref="A1:E1048576"/>
    </sheetView>
  </sheetViews>
  <sheetFormatPr defaultRowHeight="14.5" x14ac:dyDescent="0.35"/>
  <cols>
    <col min="1" max="1" width="26.453125" customWidth="1"/>
    <col min="2" max="2" width="53.1796875" customWidth="1"/>
  </cols>
  <sheetData>
    <row r="1" spans="1:12" x14ac:dyDescent="0.35">
      <c r="A1" s="1" t="s">
        <v>328</v>
      </c>
      <c r="B1" s="1" t="s">
        <v>28</v>
      </c>
      <c r="C1" s="1" t="s">
        <v>29</v>
      </c>
      <c r="D1" s="1" t="s">
        <v>30</v>
      </c>
      <c r="E1" s="1" t="s">
        <v>31</v>
      </c>
      <c r="F1" s="1"/>
      <c r="G1" s="1">
        <v>2020</v>
      </c>
      <c r="H1" s="1">
        <v>2021</v>
      </c>
      <c r="I1" s="1">
        <v>2022</v>
      </c>
      <c r="J1" s="1">
        <v>2023</v>
      </c>
      <c r="K1" s="1">
        <v>2024</v>
      </c>
      <c r="L1" s="1">
        <v>2025</v>
      </c>
    </row>
    <row r="2" spans="1:12" x14ac:dyDescent="0.35">
      <c r="A2" s="1" t="str">
        <f>'[1]Population Definitions'!$A$8</f>
        <v>mnut_hm</v>
      </c>
      <c r="B2" t="s">
        <v>32</v>
      </c>
      <c r="C2" t="s">
        <v>36</v>
      </c>
      <c r="D2" s="3"/>
      <c r="E2" s="3">
        <v>0</v>
      </c>
      <c r="F2" s="4" t="s">
        <v>34</v>
      </c>
      <c r="G2" s="3"/>
      <c r="H2" s="3"/>
      <c r="I2" s="3"/>
      <c r="J2" s="3"/>
      <c r="K2" s="3"/>
      <c r="L2" s="3"/>
    </row>
    <row r="4" spans="1:12" x14ac:dyDescent="0.35">
      <c r="A4" s="1" t="s">
        <v>329</v>
      </c>
      <c r="B4" s="1" t="s">
        <v>28</v>
      </c>
      <c r="C4" s="1" t="s">
        <v>29</v>
      </c>
      <c r="D4" s="1" t="s">
        <v>30</v>
      </c>
      <c r="E4" s="1" t="s">
        <v>31</v>
      </c>
      <c r="F4" s="1"/>
      <c r="G4" s="1">
        <v>2020</v>
      </c>
      <c r="H4" s="1">
        <v>2021</v>
      </c>
      <c r="I4" s="1">
        <v>2022</v>
      </c>
      <c r="J4" s="1">
        <v>2023</v>
      </c>
      <c r="K4" s="1">
        <v>2024</v>
      </c>
      <c r="L4" s="1">
        <v>2025</v>
      </c>
    </row>
    <row r="5" spans="1:12" x14ac:dyDescent="0.35">
      <c r="A5" s="1" t="str">
        <f>'[1]Population Definitions'!$A$8</f>
        <v>mnut_hm</v>
      </c>
      <c r="B5" t="s">
        <v>32</v>
      </c>
      <c r="C5" t="s">
        <v>36</v>
      </c>
      <c r="D5" s="3"/>
      <c r="E5" s="3">
        <v>0</v>
      </c>
      <c r="F5" s="4" t="s">
        <v>34</v>
      </c>
      <c r="G5" s="3"/>
      <c r="H5" s="3"/>
      <c r="I5" s="3"/>
      <c r="J5" s="3"/>
      <c r="K5" s="3"/>
      <c r="L5" s="3"/>
    </row>
    <row r="7" spans="1:12" x14ac:dyDescent="0.35">
      <c r="A7" s="1" t="s">
        <v>330</v>
      </c>
      <c r="B7" s="1" t="s">
        <v>28</v>
      </c>
      <c r="C7" s="1" t="s">
        <v>29</v>
      </c>
      <c r="D7" s="1" t="s">
        <v>30</v>
      </c>
      <c r="E7" s="1" t="s">
        <v>31</v>
      </c>
      <c r="F7" s="1"/>
      <c r="G7" s="1">
        <v>2020</v>
      </c>
      <c r="H7" s="1">
        <v>2021</v>
      </c>
      <c r="I7" s="1">
        <v>2022</v>
      </c>
      <c r="J7" s="1">
        <v>2023</v>
      </c>
      <c r="K7" s="1">
        <v>2024</v>
      </c>
      <c r="L7" s="1">
        <v>2025</v>
      </c>
    </row>
    <row r="8" spans="1:12" x14ac:dyDescent="0.35">
      <c r="A8" s="1" t="str">
        <f>'[1]Population Definitions'!$A$8</f>
        <v>mnut_hm</v>
      </c>
      <c r="B8" t="s">
        <v>32</v>
      </c>
      <c r="C8" t="s">
        <v>36</v>
      </c>
      <c r="D8" s="3"/>
      <c r="E8" s="3">
        <v>0</v>
      </c>
      <c r="F8" s="4" t="s">
        <v>34</v>
      </c>
      <c r="G8" s="3"/>
      <c r="H8" s="3"/>
      <c r="I8" s="3"/>
      <c r="J8" s="3"/>
      <c r="K8" s="3"/>
      <c r="L8" s="3"/>
    </row>
    <row r="10" spans="1:12" x14ac:dyDescent="0.35">
      <c r="A10" s="1" t="s">
        <v>331</v>
      </c>
      <c r="B10" s="1" t="s">
        <v>28</v>
      </c>
      <c r="C10" s="1" t="s">
        <v>29</v>
      </c>
      <c r="D10" s="1" t="s">
        <v>30</v>
      </c>
      <c r="E10" s="1" t="s">
        <v>31</v>
      </c>
      <c r="F10" s="1"/>
      <c r="G10" s="1">
        <v>2020</v>
      </c>
      <c r="H10" s="1">
        <v>2021</v>
      </c>
      <c r="I10" s="1">
        <v>2022</v>
      </c>
      <c r="J10" s="1">
        <v>2023</v>
      </c>
      <c r="K10" s="1">
        <v>2024</v>
      </c>
      <c r="L10" s="1">
        <v>2025</v>
      </c>
    </row>
    <row r="11" spans="1:12" x14ac:dyDescent="0.35">
      <c r="A11" s="1" t="str">
        <f>'[1]Population Definitions'!$A$8</f>
        <v>mnut_hm</v>
      </c>
      <c r="B11" t="s">
        <v>32</v>
      </c>
      <c r="C11" t="s">
        <v>36</v>
      </c>
      <c r="D11" s="3"/>
      <c r="E11" s="3">
        <v>0</v>
      </c>
      <c r="F11" s="4" t="s">
        <v>34</v>
      </c>
      <c r="G11" s="3"/>
      <c r="H11" s="3"/>
      <c r="I11" s="3"/>
      <c r="J11" s="3"/>
      <c r="K11" s="3"/>
      <c r="L11" s="3"/>
    </row>
  </sheetData>
  <conditionalFormatting sqref="E2">
    <cfRule type="expression" dxfId="457" priority="1">
      <formula>COUNTIF(G2:L2,"&lt;&gt;" &amp; "")&gt;0</formula>
    </cfRule>
    <cfRule type="expression" dxfId="456" priority="2">
      <formula>AND(COUNTIF(G2:L2,"&lt;&gt;" &amp; "")&gt;0,NOT(ISBLANK(E2)))</formula>
    </cfRule>
  </conditionalFormatting>
  <conditionalFormatting sqref="E5">
    <cfRule type="expression" dxfId="455" priority="3">
      <formula>COUNTIF(G5:L5,"&lt;&gt;" &amp; "")&gt;0</formula>
    </cfRule>
    <cfRule type="expression" dxfId="454" priority="4">
      <formula>AND(COUNTIF(G5:L5,"&lt;&gt;" &amp; "")&gt;0,NOT(ISBLANK(E5)))</formula>
    </cfRule>
  </conditionalFormatting>
  <conditionalFormatting sqref="E8">
    <cfRule type="expression" dxfId="453" priority="5">
      <formula>COUNTIF(G8:L8,"&lt;&gt;" &amp; "")&gt;0</formula>
    </cfRule>
    <cfRule type="expression" dxfId="452" priority="6">
      <formula>AND(COUNTIF(G8:L8,"&lt;&gt;" &amp; "")&gt;0,NOT(ISBLANK(E8)))</formula>
    </cfRule>
  </conditionalFormatting>
  <conditionalFormatting sqref="E11">
    <cfRule type="expression" dxfId="451" priority="7">
      <formula>COUNTIF(G11:L11,"&lt;&gt;" &amp; "")&gt;0</formula>
    </cfRule>
    <cfRule type="expression" dxfId="450" priority="8">
      <formula>AND(COUNTIF(G11:L11,"&lt;&gt;" &amp; "")&gt;0,NOT(ISBLANK(E11)))</formula>
    </cfRule>
  </conditionalFormatting>
  <dataValidations count="1">
    <dataValidation type="list" allowBlank="1" showInputMessage="1" showErrorMessage="1" sqref="C2 C11 C8 C5" xr:uid="{99296B5F-A01A-4B65-952D-A938052550FD}">
      <formula1>"Proportion"</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08080"/>
  </sheetPr>
  <dimension ref="A1"/>
  <sheetViews>
    <sheetView workbookViewId="0">
      <selection activeCell="I22" sqref="I22"/>
    </sheetView>
  </sheetViews>
  <sheetFormatPr defaultRowHeight="14.5" x14ac:dyDescent="0.3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08080"/>
  </sheetPr>
  <dimension ref="A1:N809"/>
  <sheetViews>
    <sheetView workbookViewId="0">
      <selection activeCell="D24" sqref="D24"/>
    </sheetView>
  </sheetViews>
  <sheetFormatPr defaultRowHeight="14.5" x14ac:dyDescent="0.35"/>
  <cols>
    <col min="1" max="2" width="42.453125" customWidth="1"/>
    <col min="3" max="3" width="23.7265625" customWidth="1"/>
    <col min="4" max="4" width="30.26953125" customWidth="1"/>
    <col min="5" max="5" width="7.26953125" customWidth="1"/>
    <col min="6" max="6" width="13.81640625" customWidth="1"/>
    <col min="7" max="7" width="10.54296875" customWidth="1"/>
    <col min="8" max="8" width="3.81640625" customWidth="1"/>
    <col min="9" max="14" width="9.453125" customWidth="1"/>
  </cols>
  <sheetData>
    <row r="1" spans="1:14" x14ac:dyDescent="0.35">
      <c r="A1" s="1" t="s">
        <v>0</v>
      </c>
      <c r="B1" s="1" t="s">
        <v>1</v>
      </c>
      <c r="C1" s="1" t="s">
        <v>144</v>
      </c>
      <c r="D1" s="1" t="s">
        <v>145</v>
      </c>
    </row>
    <row r="2" spans="1:14" x14ac:dyDescent="0.35">
      <c r="A2" t="s">
        <v>265</v>
      </c>
      <c r="B2" t="s">
        <v>265</v>
      </c>
      <c r="C2" t="s">
        <v>3</v>
      </c>
      <c r="D2" t="s">
        <v>3</v>
      </c>
    </row>
    <row r="4" spans="1:14" x14ac:dyDescent="0.35">
      <c r="B4" s="1" t="str">
        <f>'[7]Population Definitions'!$A$2</f>
        <v>anc_hm</v>
      </c>
    </row>
    <row r="5" spans="1:14" x14ac:dyDescent="0.35">
      <c r="A5" s="1" t="str">
        <f>'[7]Population Definitions'!$A$2</f>
        <v>anc_hm</v>
      </c>
      <c r="B5" s="5" t="s">
        <v>146</v>
      </c>
    </row>
    <row r="7" spans="1:14" x14ac:dyDescent="0.35">
      <c r="A7" s="1" t="s">
        <v>147</v>
      </c>
      <c r="B7" s="1"/>
      <c r="C7" s="1" t="s">
        <v>148</v>
      </c>
      <c r="D7" s="1" t="s">
        <v>28</v>
      </c>
      <c r="E7" s="1" t="s">
        <v>29</v>
      </c>
      <c r="F7" s="1" t="s">
        <v>30</v>
      </c>
      <c r="G7" s="1" t="s">
        <v>31</v>
      </c>
      <c r="H7" s="1"/>
      <c r="I7" s="1">
        <v>2020</v>
      </c>
      <c r="J7" s="1">
        <v>2021</v>
      </c>
      <c r="K7" s="1">
        <v>2022</v>
      </c>
      <c r="L7" s="1">
        <v>2023</v>
      </c>
      <c r="M7" s="1">
        <v>2024</v>
      </c>
      <c r="N7" s="1">
        <v>2025</v>
      </c>
    </row>
    <row r="8" spans="1:14" x14ac:dyDescent="0.35">
      <c r="A8" s="1" t="str">
        <f>IF($B$5="Y",'[7]Population Definitions'!$A$2,"...")</f>
        <v>anc_hm</v>
      </c>
      <c r="B8" s="4" t="str">
        <f>IF($B$5="Y","---&gt;","...")</f>
        <v>---&gt;</v>
      </c>
      <c r="C8" s="1" t="str">
        <f>IF($B$5="Y",'[7]Population Definitions'!$A$2,"...")</f>
        <v>anc_hm</v>
      </c>
      <c r="D8" t="s">
        <v>32</v>
      </c>
      <c r="E8" s="3" t="s">
        <v>118</v>
      </c>
      <c r="F8" s="3"/>
      <c r="G8" s="3">
        <v>1</v>
      </c>
      <c r="H8" s="4" t="str">
        <f>IF($B$5="Y","OR","...")</f>
        <v>OR</v>
      </c>
      <c r="I8" s="3"/>
      <c r="J8" s="3"/>
      <c r="K8" s="3"/>
      <c r="L8" s="3"/>
      <c r="M8" s="3"/>
      <c r="N8" s="3"/>
    </row>
    <row r="10" spans="1:14" x14ac:dyDescent="0.35">
      <c r="A10" s="1" t="s">
        <v>0</v>
      </c>
      <c r="B10" s="1" t="s">
        <v>1</v>
      </c>
      <c r="C10" s="1" t="s">
        <v>144</v>
      </c>
      <c r="D10" s="1" t="s">
        <v>145</v>
      </c>
    </row>
    <row r="11" spans="1:14" x14ac:dyDescent="0.35">
      <c r="A11" t="s">
        <v>266</v>
      </c>
      <c r="B11" t="s">
        <v>266</v>
      </c>
      <c r="C11" t="s">
        <v>9</v>
      </c>
      <c r="D11" t="s">
        <v>3</v>
      </c>
    </row>
    <row r="13" spans="1:14" x14ac:dyDescent="0.35">
      <c r="B13" s="1" t="str">
        <f>'[7]Population Definitions'!$A$2</f>
        <v>anc_hm</v>
      </c>
    </row>
    <row r="14" spans="1:14" x14ac:dyDescent="0.35">
      <c r="A14" s="1" t="str">
        <f>'[7]Population Definitions'!$A$5</f>
        <v>hm_hm</v>
      </c>
      <c r="B14" s="5" t="s">
        <v>146</v>
      </c>
    </row>
    <row r="16" spans="1:14" x14ac:dyDescent="0.35">
      <c r="A16" s="1" t="s">
        <v>147</v>
      </c>
      <c r="B16" s="1"/>
      <c r="C16" s="1" t="s">
        <v>148</v>
      </c>
      <c r="D16" s="1" t="s">
        <v>28</v>
      </c>
      <c r="E16" s="1" t="s">
        <v>29</v>
      </c>
      <c r="F16" s="1" t="s">
        <v>30</v>
      </c>
      <c r="G16" s="1" t="s">
        <v>31</v>
      </c>
      <c r="H16" s="1"/>
      <c r="I16" s="1">
        <v>2020</v>
      </c>
      <c r="J16" s="1">
        <v>2021</v>
      </c>
      <c r="K16" s="1">
        <v>2022</v>
      </c>
      <c r="L16" s="1">
        <v>2023</v>
      </c>
      <c r="M16" s="1">
        <v>2024</v>
      </c>
      <c r="N16" s="1">
        <v>2025</v>
      </c>
    </row>
    <row r="17" spans="1:14" x14ac:dyDescent="0.35">
      <c r="A17" s="1" t="str">
        <f>IF($B$14="Y",'[7]Population Definitions'!$A$5,"...")</f>
        <v>hm_hm</v>
      </c>
      <c r="B17" s="4" t="str">
        <f>IF($B$14="Y","---&gt;","...")</f>
        <v>---&gt;</v>
      </c>
      <c r="C17" s="1" t="str">
        <f>IF($B$14="Y",'[7]Population Definitions'!$A$2,"...")</f>
        <v>anc_hm</v>
      </c>
      <c r="D17" t="s">
        <v>32</v>
      </c>
      <c r="E17" s="3" t="s">
        <v>118</v>
      </c>
      <c r="F17" s="3"/>
      <c r="G17" s="3">
        <v>1</v>
      </c>
      <c r="H17" s="4" t="str">
        <f>IF($B$14="Y","OR","...")</f>
        <v>OR</v>
      </c>
      <c r="I17" s="3"/>
      <c r="J17" s="3"/>
      <c r="K17" s="3"/>
      <c r="L17" s="3"/>
      <c r="M17" s="3"/>
      <c r="N17" s="3"/>
    </row>
    <row r="19" spans="1:14" x14ac:dyDescent="0.35">
      <c r="A19" s="1" t="s">
        <v>0</v>
      </c>
      <c r="B19" s="1" t="s">
        <v>1</v>
      </c>
      <c r="C19" s="1" t="s">
        <v>144</v>
      </c>
      <c r="D19" s="1" t="s">
        <v>145</v>
      </c>
    </row>
    <row r="20" spans="1:14" x14ac:dyDescent="0.35">
      <c r="A20" t="s">
        <v>267</v>
      </c>
      <c r="B20" t="s">
        <v>267</v>
      </c>
      <c r="C20" t="s">
        <v>13</v>
      </c>
      <c r="D20" t="s">
        <v>3</v>
      </c>
    </row>
    <row r="22" spans="1:14" x14ac:dyDescent="0.35">
      <c r="B22" s="1" t="str">
        <f>'[7]Population Definitions'!$A$2</f>
        <v>anc_hm</v>
      </c>
    </row>
    <row r="23" spans="1:14" x14ac:dyDescent="0.35">
      <c r="A23" s="1" t="str">
        <f>'[7]Population Definitions'!$A$9</f>
        <v>ol_hm</v>
      </c>
      <c r="B23" s="5" t="s">
        <v>146</v>
      </c>
    </row>
    <row r="25" spans="1:14" x14ac:dyDescent="0.35">
      <c r="A25" s="1" t="s">
        <v>147</v>
      </c>
      <c r="B25" s="1"/>
      <c r="C25" s="1" t="s">
        <v>148</v>
      </c>
      <c r="D25" s="1" t="s">
        <v>28</v>
      </c>
      <c r="E25" s="1" t="s">
        <v>29</v>
      </c>
      <c r="F25" s="1" t="s">
        <v>30</v>
      </c>
      <c r="G25" s="1" t="s">
        <v>31</v>
      </c>
      <c r="H25" s="1"/>
      <c r="I25" s="1">
        <v>2020</v>
      </c>
      <c r="J25" s="1">
        <v>2021</v>
      </c>
      <c r="K25" s="1">
        <v>2022</v>
      </c>
      <c r="L25" s="1">
        <v>2023</v>
      </c>
      <c r="M25" s="1">
        <v>2024</v>
      </c>
      <c r="N25" s="1">
        <v>2025</v>
      </c>
    </row>
    <row r="26" spans="1:14" x14ac:dyDescent="0.35">
      <c r="A26" s="1" t="str">
        <f>IF($B$23="Y",'[7]Population Definitions'!$A$9,"...")</f>
        <v>ol_hm</v>
      </c>
      <c r="B26" s="4" t="str">
        <f>IF($B$23="Y","---&gt;","...")</f>
        <v>---&gt;</v>
      </c>
      <c r="C26" s="1" t="str">
        <f>IF($B$23="Y",'[7]Population Definitions'!$A$2,"...")</f>
        <v>anc_hm</v>
      </c>
      <c r="D26" t="s">
        <v>32</v>
      </c>
      <c r="E26" s="3" t="s">
        <v>118</v>
      </c>
      <c r="F26" s="3"/>
      <c r="G26" s="3">
        <v>1</v>
      </c>
      <c r="H26" s="4" t="str">
        <f>IF($B$23="Y","OR","...")</f>
        <v>OR</v>
      </c>
      <c r="I26" s="3"/>
      <c r="J26" s="3"/>
      <c r="K26" s="3"/>
      <c r="L26" s="3"/>
      <c r="M26" s="3"/>
      <c r="N26" s="3"/>
    </row>
    <row r="28" spans="1:14" x14ac:dyDescent="0.35">
      <c r="A28" s="1" t="s">
        <v>0</v>
      </c>
      <c r="B28" s="1" t="s">
        <v>1</v>
      </c>
      <c r="C28" s="1" t="s">
        <v>144</v>
      </c>
      <c r="D28" s="1" t="s">
        <v>145</v>
      </c>
    </row>
    <row r="29" spans="1:14" x14ac:dyDescent="0.35">
      <c r="A29" t="s">
        <v>268</v>
      </c>
      <c r="B29" t="s">
        <v>268</v>
      </c>
      <c r="C29" t="s">
        <v>19</v>
      </c>
      <c r="D29" t="s">
        <v>3</v>
      </c>
    </row>
    <row r="31" spans="1:14" x14ac:dyDescent="0.35">
      <c r="B31" s="1" t="str">
        <f>'[7]Population Definitions'!$A$2</f>
        <v>anc_hm</v>
      </c>
    </row>
    <row r="32" spans="1:14" x14ac:dyDescent="0.35">
      <c r="A32" s="1" t="str">
        <f>'[7]Population Definitions'!$A$12</f>
        <v>pt_hm</v>
      </c>
      <c r="B32" s="5" t="s">
        <v>146</v>
      </c>
    </row>
    <row r="34" spans="1:14" x14ac:dyDescent="0.35">
      <c r="A34" s="1" t="s">
        <v>147</v>
      </c>
      <c r="B34" s="1"/>
      <c r="C34" s="1" t="s">
        <v>148</v>
      </c>
      <c r="D34" s="1" t="s">
        <v>28</v>
      </c>
      <c r="E34" s="1" t="s">
        <v>29</v>
      </c>
      <c r="F34" s="1" t="s">
        <v>30</v>
      </c>
      <c r="G34" s="1" t="s">
        <v>31</v>
      </c>
      <c r="H34" s="1"/>
      <c r="I34" s="1">
        <v>2020</v>
      </c>
      <c r="J34" s="1">
        <v>2021</v>
      </c>
      <c r="K34" s="1">
        <v>2022</v>
      </c>
      <c r="L34" s="1">
        <v>2023</v>
      </c>
      <c r="M34" s="1">
        <v>2024</v>
      </c>
      <c r="N34" s="1">
        <v>2025</v>
      </c>
    </row>
    <row r="35" spans="1:14" x14ac:dyDescent="0.35">
      <c r="A35" s="1" t="str">
        <f>IF($B$32="Y",'[7]Population Definitions'!$A$12,"...")</f>
        <v>pt_hm</v>
      </c>
      <c r="B35" s="4" t="str">
        <f>IF($B$32="Y","---&gt;","...")</f>
        <v>---&gt;</v>
      </c>
      <c r="C35" s="1" t="str">
        <f>IF($B$32="Y",'[7]Population Definitions'!$A$2,"...")</f>
        <v>anc_hm</v>
      </c>
      <c r="D35" t="s">
        <v>32</v>
      </c>
      <c r="E35" s="3" t="s">
        <v>118</v>
      </c>
      <c r="F35" s="3"/>
      <c r="G35" s="3">
        <v>1</v>
      </c>
      <c r="H35" s="4" t="str">
        <f>IF($B$32="Y","OR","...")</f>
        <v>OR</v>
      </c>
      <c r="I35" s="3"/>
      <c r="J35" s="3"/>
      <c r="K35" s="3"/>
      <c r="L35" s="3"/>
      <c r="M35" s="3"/>
      <c r="N35" s="3"/>
    </row>
    <row r="37" spans="1:14" x14ac:dyDescent="0.35">
      <c r="A37" s="1" t="s">
        <v>0</v>
      </c>
      <c r="B37" s="1" t="s">
        <v>1</v>
      </c>
      <c r="C37" s="1" t="s">
        <v>144</v>
      </c>
      <c r="D37" s="1" t="s">
        <v>145</v>
      </c>
    </row>
    <row r="38" spans="1:14" x14ac:dyDescent="0.35">
      <c r="A38" t="s">
        <v>275</v>
      </c>
      <c r="B38" t="s">
        <v>275</v>
      </c>
      <c r="C38" t="s">
        <v>19</v>
      </c>
      <c r="D38" t="s">
        <v>5</v>
      </c>
    </row>
    <row r="40" spans="1:14" x14ac:dyDescent="0.35">
      <c r="B40" s="1" t="str">
        <f>'[7]Population Definitions'!$A$3</f>
        <v>asx_hm</v>
      </c>
    </row>
    <row r="41" spans="1:14" x14ac:dyDescent="0.35">
      <c r="A41" s="1" t="str">
        <f>'[7]Population Definitions'!$A$12</f>
        <v>pt_hm</v>
      </c>
      <c r="B41" s="5" t="s">
        <v>146</v>
      </c>
    </row>
    <row r="43" spans="1:14" x14ac:dyDescent="0.35">
      <c r="A43" s="1" t="s">
        <v>147</v>
      </c>
      <c r="B43" s="1"/>
      <c r="C43" s="1" t="s">
        <v>148</v>
      </c>
      <c r="D43" s="1" t="s">
        <v>28</v>
      </c>
      <c r="E43" s="1" t="s">
        <v>29</v>
      </c>
      <c r="F43" s="1" t="s">
        <v>30</v>
      </c>
      <c r="G43" s="1" t="s">
        <v>31</v>
      </c>
      <c r="H43" s="1"/>
      <c r="I43" s="1">
        <v>2020</v>
      </c>
      <c r="J43" s="1">
        <v>2021</v>
      </c>
      <c r="K43" s="1">
        <v>2022</v>
      </c>
      <c r="L43" s="1">
        <v>2023</v>
      </c>
      <c r="M43" s="1">
        <v>2024</v>
      </c>
      <c r="N43" s="1">
        <v>2025</v>
      </c>
    </row>
    <row r="44" spans="1:14" x14ac:dyDescent="0.35">
      <c r="A44" s="1" t="str">
        <f>IF($B$41="Y",'[7]Population Definitions'!$A$12,"...")</f>
        <v>pt_hm</v>
      </c>
      <c r="B44" s="4" t="str">
        <f>IF($B$41="Y","---&gt;","...")</f>
        <v>---&gt;</v>
      </c>
      <c r="C44" s="1" t="str">
        <f>IF($B$41="Y",'[7]Population Definitions'!$A$3,"...")</f>
        <v>asx_hm</v>
      </c>
      <c r="D44" t="s">
        <v>32</v>
      </c>
      <c r="E44" s="3" t="s">
        <v>118</v>
      </c>
      <c r="F44" s="3"/>
      <c r="G44" s="3">
        <v>1</v>
      </c>
      <c r="H44" s="4" t="str">
        <f>IF($B$41="Y","OR","...")</f>
        <v>OR</v>
      </c>
      <c r="I44" s="3"/>
      <c r="J44" s="3"/>
      <c r="K44" s="3"/>
      <c r="L44" s="3"/>
      <c r="M44" s="3"/>
      <c r="N44" s="3"/>
    </row>
    <row r="46" spans="1:14" x14ac:dyDescent="0.35">
      <c r="A46" s="1" t="s">
        <v>0</v>
      </c>
      <c r="B46" s="1" t="s">
        <v>1</v>
      </c>
      <c r="C46" s="1" t="s">
        <v>144</v>
      </c>
      <c r="D46" s="1" t="s">
        <v>145</v>
      </c>
    </row>
    <row r="47" spans="1:14" x14ac:dyDescent="0.35">
      <c r="A47" t="s">
        <v>236</v>
      </c>
      <c r="B47" t="s">
        <v>236</v>
      </c>
      <c r="C47" t="s">
        <v>3</v>
      </c>
      <c r="D47" t="s">
        <v>5</v>
      </c>
    </row>
    <row r="49" spans="1:14" x14ac:dyDescent="0.35">
      <c r="B49" s="1" t="str">
        <f>'[7]Population Definitions'!$A$3</f>
        <v>asx_hm</v>
      </c>
    </row>
    <row r="50" spans="1:14" x14ac:dyDescent="0.35">
      <c r="A50" s="1" t="str">
        <f>'[7]Population Definitions'!$A$2</f>
        <v>anc_hm</v>
      </c>
      <c r="B50" s="5" t="s">
        <v>146</v>
      </c>
    </row>
    <row r="52" spans="1:14" x14ac:dyDescent="0.35">
      <c r="A52" s="1" t="s">
        <v>147</v>
      </c>
      <c r="B52" s="1"/>
      <c r="C52" s="1" t="s">
        <v>148</v>
      </c>
      <c r="D52" s="1" t="s">
        <v>28</v>
      </c>
      <c r="E52" s="1" t="s">
        <v>29</v>
      </c>
      <c r="F52" s="1" t="s">
        <v>30</v>
      </c>
      <c r="G52" s="1" t="s">
        <v>31</v>
      </c>
      <c r="H52" s="1"/>
      <c r="I52" s="1">
        <v>2020</v>
      </c>
      <c r="J52" s="1">
        <v>2021</v>
      </c>
      <c r="K52" s="1">
        <v>2022</v>
      </c>
      <c r="L52" s="1">
        <v>2023</v>
      </c>
      <c r="M52" s="1">
        <v>2024</v>
      </c>
      <c r="N52" s="1">
        <v>2025</v>
      </c>
    </row>
    <row r="53" spans="1:14" x14ac:dyDescent="0.35">
      <c r="A53" s="1" t="str">
        <f>IF($B$50="Y",'[7]Population Definitions'!$A$2,"...")</f>
        <v>anc_hm</v>
      </c>
      <c r="B53" s="4" t="str">
        <f>IF($B$50="Y","---&gt;","...")</f>
        <v>---&gt;</v>
      </c>
      <c r="C53" s="1" t="str">
        <f>IF($B$50="Y",'[7]Population Definitions'!$A$3,"...")</f>
        <v>asx_hm</v>
      </c>
      <c r="D53" t="s">
        <v>32</v>
      </c>
      <c r="E53" s="3" t="s">
        <v>118</v>
      </c>
      <c r="F53" s="3"/>
      <c r="G53" s="3">
        <v>1</v>
      </c>
      <c r="H53" s="4" t="str">
        <f>IF($B$50="Y","OR","...")</f>
        <v>OR</v>
      </c>
      <c r="I53" s="3"/>
      <c r="J53" s="3"/>
      <c r="K53" s="3"/>
      <c r="L53" s="3"/>
      <c r="M53" s="3"/>
      <c r="N53" s="3"/>
    </row>
    <row r="55" spans="1:14" x14ac:dyDescent="0.35">
      <c r="A55" s="1" t="s">
        <v>0</v>
      </c>
      <c r="B55" s="1" t="s">
        <v>1</v>
      </c>
      <c r="C55" s="1" t="s">
        <v>144</v>
      </c>
      <c r="D55" s="1" t="s">
        <v>145</v>
      </c>
    </row>
    <row r="56" spans="1:14" x14ac:dyDescent="0.35">
      <c r="A56" t="s">
        <v>332</v>
      </c>
      <c r="B56" t="s">
        <v>332</v>
      </c>
      <c r="C56" t="s">
        <v>333</v>
      </c>
      <c r="D56" t="s">
        <v>5</v>
      </c>
    </row>
    <row r="58" spans="1:14" x14ac:dyDescent="0.35">
      <c r="B58" s="1" t="str">
        <f>'[7]Population Definitions'!$A$3</f>
        <v>asx_hm</v>
      </c>
    </row>
    <row r="59" spans="1:14" x14ac:dyDescent="0.35">
      <c r="A59" s="1" t="str">
        <f>'[7]Population Definitions'!$A$8</f>
        <v>mnut_hm</v>
      </c>
      <c r="B59" s="5" t="s">
        <v>146</v>
      </c>
    </row>
    <row r="61" spans="1:14" x14ac:dyDescent="0.35">
      <c r="A61" s="1" t="s">
        <v>147</v>
      </c>
      <c r="B61" s="1"/>
      <c r="C61" s="1" t="s">
        <v>148</v>
      </c>
      <c r="D61" s="1" t="s">
        <v>28</v>
      </c>
      <c r="E61" s="1" t="s">
        <v>29</v>
      </c>
      <c r="F61" s="1" t="s">
        <v>30</v>
      </c>
      <c r="G61" s="1" t="s">
        <v>31</v>
      </c>
      <c r="H61" s="1"/>
      <c r="I61" s="1">
        <v>2020</v>
      </c>
      <c r="J61" s="1">
        <v>2021</v>
      </c>
      <c r="K61" s="1">
        <v>2022</v>
      </c>
      <c r="L61" s="1">
        <v>2023</v>
      </c>
      <c r="M61" s="1">
        <v>2024</v>
      </c>
      <c r="N61" s="1">
        <v>2025</v>
      </c>
    </row>
    <row r="62" spans="1:14" x14ac:dyDescent="0.35">
      <c r="A62" s="1" t="str">
        <f>IF($B$59="Y",'[7]Population Definitions'!$A$8,"...")</f>
        <v>mnut_hm</v>
      </c>
      <c r="B62" s="4" t="str">
        <f>IF($B$59="Y","---&gt;","...")</f>
        <v>---&gt;</v>
      </c>
      <c r="C62" s="1" t="str">
        <f>IF($B$59="Y",'[7]Population Definitions'!$A$3,"...")</f>
        <v>asx_hm</v>
      </c>
      <c r="D62" t="s">
        <v>32</v>
      </c>
      <c r="E62" s="3" t="s">
        <v>118</v>
      </c>
      <c r="F62" s="3"/>
      <c r="G62" s="3">
        <v>1</v>
      </c>
      <c r="H62" s="4" t="str">
        <f>IF($B$59="Y","OR","...")</f>
        <v>OR</v>
      </c>
      <c r="I62" s="3"/>
      <c r="J62" s="3"/>
      <c r="K62" s="3"/>
      <c r="L62" s="3"/>
      <c r="M62" s="3"/>
      <c r="N62" s="3"/>
    </row>
    <row r="64" spans="1:14" x14ac:dyDescent="0.35">
      <c r="A64" s="1" t="s">
        <v>0</v>
      </c>
      <c r="B64" s="1" t="s">
        <v>1</v>
      </c>
      <c r="C64" s="1" t="s">
        <v>144</v>
      </c>
      <c r="D64" s="1" t="s">
        <v>145</v>
      </c>
    </row>
    <row r="65" spans="1:14" x14ac:dyDescent="0.35">
      <c r="A65" t="s">
        <v>149</v>
      </c>
      <c r="B65" t="s">
        <v>149</v>
      </c>
      <c r="C65" t="s">
        <v>11</v>
      </c>
      <c r="D65" t="s">
        <v>5</v>
      </c>
    </row>
    <row r="67" spans="1:14" x14ac:dyDescent="0.35">
      <c r="B67" s="1" t="str">
        <f>'[7]Population Definitions'!$A$3</f>
        <v>asx_hm</v>
      </c>
    </row>
    <row r="68" spans="1:14" x14ac:dyDescent="0.35">
      <c r="A68" s="1" t="str">
        <f>'[7]Population Definitions'!$A$6</f>
        <v>msep_hm</v>
      </c>
      <c r="B68" s="5" t="s">
        <v>146</v>
      </c>
    </row>
    <row r="70" spans="1:14" x14ac:dyDescent="0.35">
      <c r="A70" s="1" t="s">
        <v>147</v>
      </c>
      <c r="B70" s="1"/>
      <c r="C70" s="1" t="s">
        <v>148</v>
      </c>
      <c r="D70" s="1" t="s">
        <v>28</v>
      </c>
      <c r="E70" s="1" t="s">
        <v>29</v>
      </c>
      <c r="F70" s="1" t="s">
        <v>30</v>
      </c>
      <c r="G70" s="1" t="s">
        <v>31</v>
      </c>
      <c r="H70" s="1"/>
      <c r="I70" s="1">
        <v>2020</v>
      </c>
      <c r="J70" s="1">
        <v>2021</v>
      </c>
      <c r="K70" s="1">
        <v>2022</v>
      </c>
      <c r="L70" s="1">
        <v>2023</v>
      </c>
      <c r="M70" s="1">
        <v>2024</v>
      </c>
      <c r="N70" s="1">
        <v>2025</v>
      </c>
    </row>
    <row r="71" spans="1:14" x14ac:dyDescent="0.35">
      <c r="A71" s="1" t="str">
        <f>IF($B$68="Y",'[7]Population Definitions'!$A$6,"...")</f>
        <v>msep_hm</v>
      </c>
      <c r="B71" s="4" t="str">
        <f>IF($B$68="Y","---&gt;","...")</f>
        <v>---&gt;</v>
      </c>
      <c r="C71" s="1" t="str">
        <f>IF($B$68="Y",'[7]Population Definitions'!$A$3,"...")</f>
        <v>asx_hm</v>
      </c>
      <c r="D71" t="s">
        <v>32</v>
      </c>
      <c r="E71" s="3" t="s">
        <v>118</v>
      </c>
      <c r="F71" s="3"/>
      <c r="G71" s="3">
        <v>1</v>
      </c>
      <c r="H71" s="4" t="str">
        <f>IF($B$68="Y","OR","...")</f>
        <v>OR</v>
      </c>
      <c r="I71" s="3"/>
      <c r="J71" s="3"/>
      <c r="K71" s="3"/>
      <c r="L71" s="3"/>
      <c r="M71" s="3"/>
      <c r="N71" s="3"/>
    </row>
    <row r="73" spans="1:14" x14ac:dyDescent="0.35">
      <c r="A73" s="1" t="s">
        <v>0</v>
      </c>
      <c r="B73" s="1" t="s">
        <v>1</v>
      </c>
      <c r="C73" s="1" t="s">
        <v>144</v>
      </c>
      <c r="D73" s="1" t="s">
        <v>145</v>
      </c>
    </row>
    <row r="74" spans="1:14" x14ac:dyDescent="0.35">
      <c r="A74" t="s">
        <v>143</v>
      </c>
      <c r="B74" t="s">
        <v>143</v>
      </c>
      <c r="C74" t="s">
        <v>13</v>
      </c>
      <c r="D74" t="s">
        <v>5</v>
      </c>
    </row>
    <row r="76" spans="1:14" x14ac:dyDescent="0.35">
      <c r="B76" s="1" t="str">
        <f>'[7]Population Definitions'!$A$3</f>
        <v>asx_hm</v>
      </c>
    </row>
    <row r="77" spans="1:14" x14ac:dyDescent="0.35">
      <c r="A77" s="1" t="str">
        <f>'[7]Population Definitions'!$A$9</f>
        <v>ol_hm</v>
      </c>
      <c r="B77" s="5" t="s">
        <v>146</v>
      </c>
    </row>
    <row r="79" spans="1:14" x14ac:dyDescent="0.35">
      <c r="A79" s="1" t="s">
        <v>147</v>
      </c>
      <c r="B79" s="1"/>
      <c r="C79" s="1" t="s">
        <v>148</v>
      </c>
      <c r="D79" s="1" t="s">
        <v>28</v>
      </c>
      <c r="E79" s="1" t="s">
        <v>29</v>
      </c>
      <c r="F79" s="1" t="s">
        <v>30</v>
      </c>
      <c r="G79" s="1" t="s">
        <v>31</v>
      </c>
      <c r="H79" s="1"/>
      <c r="I79" s="1">
        <v>2020</v>
      </c>
      <c r="J79" s="1">
        <v>2021</v>
      </c>
      <c r="K79" s="1">
        <v>2022</v>
      </c>
      <c r="L79" s="1">
        <v>2023</v>
      </c>
      <c r="M79" s="1">
        <v>2024</v>
      </c>
      <c r="N79" s="1">
        <v>2025</v>
      </c>
    </row>
    <row r="80" spans="1:14" x14ac:dyDescent="0.35">
      <c r="A80" s="1" t="str">
        <f>IF($B$77="Y",'[7]Population Definitions'!$A$9,"...")</f>
        <v>ol_hm</v>
      </c>
      <c r="B80" s="4" t="str">
        <f>IF($B$77="Y","---&gt;","...")</f>
        <v>---&gt;</v>
      </c>
      <c r="C80" s="1" t="str">
        <f>IF($B$77="Y",'[7]Population Definitions'!$A$3,"...")</f>
        <v>asx_hm</v>
      </c>
      <c r="D80" t="s">
        <v>32</v>
      </c>
      <c r="E80" s="3" t="s">
        <v>118</v>
      </c>
      <c r="F80" s="3"/>
      <c r="G80" s="3">
        <v>1</v>
      </c>
      <c r="H80" s="4" t="str">
        <f>IF($B$77="Y","OR","...")</f>
        <v>OR</v>
      </c>
      <c r="I80" s="3"/>
      <c r="J80" s="3"/>
      <c r="K80" s="3"/>
      <c r="L80" s="3"/>
      <c r="M80" s="3"/>
      <c r="N80" s="3"/>
    </row>
    <row r="82" spans="1:14" x14ac:dyDescent="0.35">
      <c r="A82" s="1" t="s">
        <v>0</v>
      </c>
      <c r="B82" s="1" t="s">
        <v>1</v>
      </c>
      <c r="C82" s="1" t="s">
        <v>144</v>
      </c>
      <c r="D82" s="1" t="s">
        <v>145</v>
      </c>
    </row>
    <row r="83" spans="1:14" x14ac:dyDescent="0.35">
      <c r="A83" t="s">
        <v>334</v>
      </c>
      <c r="B83" t="s">
        <v>334</v>
      </c>
      <c r="C83" t="s">
        <v>335</v>
      </c>
      <c r="D83" t="s">
        <v>5</v>
      </c>
    </row>
    <row r="85" spans="1:14" x14ac:dyDescent="0.35">
      <c r="B85" s="1" t="str">
        <f>'[7]Population Definitions'!$A$3</f>
        <v>asx_hm</v>
      </c>
    </row>
    <row r="86" spans="1:14" x14ac:dyDescent="0.35">
      <c r="A86" s="1" t="str">
        <f>'[7]Population Definitions'!$A$7</f>
        <v>preecl_hm</v>
      </c>
      <c r="B86" s="5" t="s">
        <v>146</v>
      </c>
    </row>
    <row r="88" spans="1:14" x14ac:dyDescent="0.35">
      <c r="A88" s="1" t="s">
        <v>147</v>
      </c>
      <c r="B88" s="1"/>
      <c r="C88" s="1" t="s">
        <v>148</v>
      </c>
      <c r="D88" s="1" t="s">
        <v>28</v>
      </c>
      <c r="E88" s="1" t="s">
        <v>29</v>
      </c>
      <c r="F88" s="1" t="s">
        <v>30</v>
      </c>
      <c r="G88" s="1" t="s">
        <v>31</v>
      </c>
      <c r="H88" s="1"/>
      <c r="I88" s="1">
        <v>2020</v>
      </c>
      <c r="J88" s="1">
        <v>2021</v>
      </c>
      <c r="K88" s="1">
        <v>2022</v>
      </c>
      <c r="L88" s="1">
        <v>2023</v>
      </c>
      <c r="M88" s="1">
        <v>2024</v>
      </c>
      <c r="N88" s="1">
        <v>2025</v>
      </c>
    </row>
    <row r="89" spans="1:14" x14ac:dyDescent="0.35">
      <c r="A89" s="1" t="str">
        <f>IF($B$86="Y",'[7]Population Definitions'!$A$7,"...")</f>
        <v>preecl_hm</v>
      </c>
      <c r="B89" s="4" t="str">
        <f>IF($B$86="Y","---&gt;","...")</f>
        <v>---&gt;</v>
      </c>
      <c r="C89" s="1" t="str">
        <f>IF($B$86="Y",'[7]Population Definitions'!$A$3,"...")</f>
        <v>asx_hm</v>
      </c>
      <c r="D89" t="s">
        <v>32</v>
      </c>
      <c r="E89" s="3" t="s">
        <v>118</v>
      </c>
      <c r="F89" s="3"/>
      <c r="G89" s="3">
        <v>1</v>
      </c>
      <c r="H89" s="4" t="str">
        <f>IF($B$86="Y","OR","...")</f>
        <v>OR</v>
      </c>
      <c r="I89" s="3"/>
      <c r="J89" s="3"/>
      <c r="K89" s="3"/>
      <c r="L89" s="3"/>
      <c r="M89" s="3"/>
      <c r="N89" s="3"/>
    </row>
    <row r="91" spans="1:14" x14ac:dyDescent="0.35">
      <c r="A91" s="1" t="s">
        <v>0</v>
      </c>
      <c r="B91" s="1" t="s">
        <v>1</v>
      </c>
      <c r="C91" s="1" t="s">
        <v>144</v>
      </c>
      <c r="D91" s="1" t="s">
        <v>145</v>
      </c>
    </row>
    <row r="92" spans="1:14" x14ac:dyDescent="0.35">
      <c r="A92" t="s">
        <v>244</v>
      </c>
      <c r="B92" t="s">
        <v>244</v>
      </c>
      <c r="C92" t="s">
        <v>5</v>
      </c>
      <c r="D92" t="s">
        <v>5</v>
      </c>
    </row>
    <row r="94" spans="1:14" x14ac:dyDescent="0.35">
      <c r="B94" s="1" t="str">
        <f>'[7]Population Definitions'!$A$3</f>
        <v>asx_hm</v>
      </c>
    </row>
    <row r="95" spans="1:14" x14ac:dyDescent="0.35">
      <c r="A95" s="1" t="str">
        <f>'[7]Population Definitions'!$A$3</f>
        <v>asx_hm</v>
      </c>
      <c r="B95" s="5" t="s">
        <v>146</v>
      </c>
    </row>
    <row r="97" spans="1:14" x14ac:dyDescent="0.35">
      <c r="A97" s="1" t="s">
        <v>147</v>
      </c>
      <c r="B97" s="1"/>
      <c r="C97" s="1" t="s">
        <v>148</v>
      </c>
      <c r="D97" s="1" t="s">
        <v>28</v>
      </c>
      <c r="E97" s="1" t="s">
        <v>29</v>
      </c>
      <c r="F97" s="1" t="s">
        <v>30</v>
      </c>
      <c r="G97" s="1" t="s">
        <v>31</v>
      </c>
      <c r="H97" s="1"/>
      <c r="I97" s="1">
        <v>2020</v>
      </c>
      <c r="J97" s="1">
        <v>2021</v>
      </c>
      <c r="K97" s="1">
        <v>2022</v>
      </c>
      <c r="L97" s="1">
        <v>2023</v>
      </c>
      <c r="M97" s="1">
        <v>2024</v>
      </c>
      <c r="N97" s="1">
        <v>2025</v>
      </c>
    </row>
    <row r="98" spans="1:14" x14ac:dyDescent="0.35">
      <c r="A98" s="1" t="str">
        <f>IF($B$95="Y",'[7]Population Definitions'!$A$3,"...")</f>
        <v>asx_hm</v>
      </c>
      <c r="B98" s="4" t="str">
        <f>IF($B$95="Y","---&gt;","...")</f>
        <v>---&gt;</v>
      </c>
      <c r="C98" s="1" t="str">
        <f>IF($B$95="Y",'[7]Population Definitions'!$A$3,"...")</f>
        <v>asx_hm</v>
      </c>
      <c r="D98" t="s">
        <v>32</v>
      </c>
      <c r="E98" s="3" t="s">
        <v>118</v>
      </c>
      <c r="F98" s="3"/>
      <c r="G98" s="3">
        <v>1</v>
      </c>
      <c r="H98" s="4" t="str">
        <f>IF($B$95="Y","OR","...")</f>
        <v>OR</v>
      </c>
      <c r="I98" s="3"/>
      <c r="J98" s="3"/>
      <c r="K98" s="3"/>
      <c r="L98" s="3"/>
      <c r="M98" s="3"/>
      <c r="N98" s="3"/>
    </row>
    <row r="100" spans="1:14" x14ac:dyDescent="0.35">
      <c r="A100" s="1" t="s">
        <v>0</v>
      </c>
      <c r="B100" s="1" t="s">
        <v>1</v>
      </c>
      <c r="C100" s="1" t="s">
        <v>144</v>
      </c>
      <c r="D100" s="1" t="s">
        <v>145</v>
      </c>
    </row>
    <row r="101" spans="1:14" x14ac:dyDescent="0.35">
      <c r="A101" t="s">
        <v>245</v>
      </c>
      <c r="B101" t="s">
        <v>245</v>
      </c>
      <c r="C101" t="s">
        <v>17</v>
      </c>
      <c r="D101" t="s">
        <v>5</v>
      </c>
    </row>
    <row r="103" spans="1:14" x14ac:dyDescent="0.35">
      <c r="B103" s="1" t="str">
        <f>'[7]Population Definitions'!$A$3</f>
        <v>asx_hm</v>
      </c>
    </row>
    <row r="104" spans="1:14" x14ac:dyDescent="0.35">
      <c r="A104" s="1" t="str">
        <f>'[7]Population Definitions'!$A$11</f>
        <v>nsep_hm</v>
      </c>
      <c r="B104" s="5" t="s">
        <v>146</v>
      </c>
    </row>
    <row r="106" spans="1:14" x14ac:dyDescent="0.35">
      <c r="A106" s="1" t="s">
        <v>147</v>
      </c>
      <c r="B106" s="1"/>
      <c r="C106" s="1" t="s">
        <v>148</v>
      </c>
      <c r="D106" s="1" t="s">
        <v>28</v>
      </c>
      <c r="E106" s="1" t="s">
        <v>29</v>
      </c>
      <c r="F106" s="1" t="s">
        <v>30</v>
      </c>
      <c r="G106" s="1" t="s">
        <v>31</v>
      </c>
      <c r="H106" s="1"/>
      <c r="I106" s="1">
        <v>2020</v>
      </c>
      <c r="J106" s="1">
        <v>2021</v>
      </c>
      <c r="K106" s="1">
        <v>2022</v>
      </c>
      <c r="L106" s="1">
        <v>2023</v>
      </c>
      <c r="M106" s="1">
        <v>2024</v>
      </c>
      <c r="N106" s="1">
        <v>2025</v>
      </c>
    </row>
    <row r="107" spans="1:14" x14ac:dyDescent="0.35">
      <c r="A107" s="1" t="str">
        <f>IF($B$104="Y",'[7]Population Definitions'!$A$11,"...")</f>
        <v>nsep_hm</v>
      </c>
      <c r="B107" s="4" t="str">
        <f>IF($B$104="Y","---&gt;","...")</f>
        <v>---&gt;</v>
      </c>
      <c r="C107" s="1" t="str">
        <f>IF($B$104="Y",'[7]Population Definitions'!$A$3,"...")</f>
        <v>asx_hm</v>
      </c>
      <c r="D107" t="s">
        <v>32</v>
      </c>
      <c r="E107" s="3" t="s">
        <v>118</v>
      </c>
      <c r="F107" s="3"/>
      <c r="G107" s="3">
        <v>1</v>
      </c>
      <c r="H107" s="4" t="str">
        <f>IF($B$104="Y","OR","...")</f>
        <v>OR</v>
      </c>
      <c r="I107" s="3"/>
      <c r="J107" s="3"/>
      <c r="K107" s="3"/>
      <c r="L107" s="3"/>
      <c r="M107" s="3"/>
      <c r="N107" s="3"/>
    </row>
    <row r="109" spans="1:14" x14ac:dyDescent="0.35">
      <c r="A109" s="1" t="s">
        <v>0</v>
      </c>
      <c r="B109" s="1" t="s">
        <v>1</v>
      </c>
      <c r="C109" s="1" t="s">
        <v>144</v>
      </c>
      <c r="D109" s="1" t="s">
        <v>145</v>
      </c>
    </row>
    <row r="110" spans="1:14" x14ac:dyDescent="0.35">
      <c r="A110" t="s">
        <v>246</v>
      </c>
      <c r="B110" t="s">
        <v>246</v>
      </c>
      <c r="C110" t="s">
        <v>15</v>
      </c>
      <c r="D110" t="s">
        <v>5</v>
      </c>
    </row>
    <row r="112" spans="1:14" x14ac:dyDescent="0.35">
      <c r="B112" s="1" t="str">
        <f>'[7]Population Definitions'!$A$3</f>
        <v>asx_hm</v>
      </c>
    </row>
    <row r="113" spans="1:14" x14ac:dyDescent="0.35">
      <c r="A113" s="1" t="str">
        <f>'[7]Population Definitions'!$A$10</f>
        <v>oth_hm</v>
      </c>
      <c r="B113" s="5" t="s">
        <v>146</v>
      </c>
    </row>
    <row r="115" spans="1:14" x14ac:dyDescent="0.35">
      <c r="A115" s="1" t="s">
        <v>147</v>
      </c>
      <c r="B115" s="1"/>
      <c r="C115" s="1" t="s">
        <v>148</v>
      </c>
      <c r="D115" s="1" t="s">
        <v>28</v>
      </c>
      <c r="E115" s="1" t="s">
        <v>29</v>
      </c>
      <c r="F115" s="1" t="s">
        <v>30</v>
      </c>
      <c r="G115" s="1" t="s">
        <v>31</v>
      </c>
      <c r="H115" s="1"/>
      <c r="I115" s="1">
        <v>2020</v>
      </c>
      <c r="J115" s="1">
        <v>2021</v>
      </c>
      <c r="K115" s="1">
        <v>2022</v>
      </c>
      <c r="L115" s="1">
        <v>2023</v>
      </c>
      <c r="M115" s="1">
        <v>2024</v>
      </c>
      <c r="N115" s="1">
        <v>2025</v>
      </c>
    </row>
    <row r="116" spans="1:14" x14ac:dyDescent="0.35">
      <c r="A116" s="1" t="str">
        <f>IF($B$113="Y",'[7]Population Definitions'!$A$10,"...")</f>
        <v>oth_hm</v>
      </c>
      <c r="B116" s="4" t="str">
        <f>IF($B$113="Y","---&gt;","...")</f>
        <v>---&gt;</v>
      </c>
      <c r="C116" s="1" t="str">
        <f>IF($B$113="Y",'[7]Population Definitions'!$A$3,"...")</f>
        <v>asx_hm</v>
      </c>
      <c r="D116" t="s">
        <v>32</v>
      </c>
      <c r="E116" s="3" t="s">
        <v>118</v>
      </c>
      <c r="F116" s="3"/>
      <c r="G116" s="3">
        <v>1</v>
      </c>
      <c r="H116" s="4" t="str">
        <f>IF($B$113="Y","OR","...")</f>
        <v>OR</v>
      </c>
      <c r="I116" s="3"/>
      <c r="J116" s="3"/>
      <c r="K116" s="3"/>
      <c r="L116" s="3"/>
      <c r="M116" s="3"/>
      <c r="N116" s="3"/>
    </row>
    <row r="118" spans="1:14" x14ac:dyDescent="0.35">
      <c r="A118" s="1" t="s">
        <v>0</v>
      </c>
      <c r="B118" s="1" t="s">
        <v>1</v>
      </c>
      <c r="C118" s="1" t="s">
        <v>144</v>
      </c>
      <c r="D118" s="1" t="s">
        <v>145</v>
      </c>
    </row>
    <row r="119" spans="1:14" x14ac:dyDescent="0.35">
      <c r="A119" t="s">
        <v>247</v>
      </c>
      <c r="B119" t="s">
        <v>247</v>
      </c>
      <c r="C119" t="s">
        <v>21</v>
      </c>
      <c r="D119" t="s">
        <v>5</v>
      </c>
    </row>
    <row r="121" spans="1:14" x14ac:dyDescent="0.35">
      <c r="B121" s="1" t="str">
        <f>'[7]Population Definitions'!$A$3</f>
        <v>asx_hm</v>
      </c>
    </row>
    <row r="122" spans="1:14" x14ac:dyDescent="0.35">
      <c r="A122" s="1" t="str">
        <f>'[7]Population Definitions'!$A$13</f>
        <v>rds_hm</v>
      </c>
      <c r="B122" s="5" t="s">
        <v>146</v>
      </c>
    </row>
    <row r="124" spans="1:14" x14ac:dyDescent="0.35">
      <c r="A124" s="1" t="s">
        <v>147</v>
      </c>
      <c r="B124" s="1"/>
      <c r="C124" s="1" t="s">
        <v>148</v>
      </c>
      <c r="D124" s="1" t="s">
        <v>28</v>
      </c>
      <c r="E124" s="1" t="s">
        <v>29</v>
      </c>
      <c r="F124" s="1" t="s">
        <v>30</v>
      </c>
      <c r="G124" s="1" t="s">
        <v>31</v>
      </c>
      <c r="H124" s="1"/>
      <c r="I124" s="1">
        <v>2020</v>
      </c>
      <c r="J124" s="1">
        <v>2021</v>
      </c>
      <c r="K124" s="1">
        <v>2022</v>
      </c>
      <c r="L124" s="1">
        <v>2023</v>
      </c>
      <c r="M124" s="1">
        <v>2024</v>
      </c>
      <c r="N124" s="1">
        <v>2025</v>
      </c>
    </row>
    <row r="125" spans="1:14" x14ac:dyDescent="0.35">
      <c r="A125" s="1" t="str">
        <f>IF($B$122="Y",'[7]Population Definitions'!$A$13,"...")</f>
        <v>rds_hm</v>
      </c>
      <c r="B125" s="4" t="str">
        <f>IF($B$122="Y","---&gt;","...")</f>
        <v>---&gt;</v>
      </c>
      <c r="C125" s="1" t="str">
        <f>IF($B$122="Y",'[7]Population Definitions'!$A$3,"...")</f>
        <v>asx_hm</v>
      </c>
      <c r="D125" t="s">
        <v>32</v>
      </c>
      <c r="E125" s="3" t="s">
        <v>118</v>
      </c>
      <c r="F125" s="3"/>
      <c r="G125" s="3">
        <v>1</v>
      </c>
      <c r="H125" s="4" t="str">
        <f>IF($B$122="Y","OR","...")</f>
        <v>OR</v>
      </c>
      <c r="I125" s="3"/>
      <c r="J125" s="3"/>
      <c r="K125" s="3"/>
      <c r="L125" s="3"/>
      <c r="M125" s="3"/>
      <c r="N125" s="3"/>
    </row>
    <row r="127" spans="1:14" x14ac:dyDescent="0.35">
      <c r="A127" s="1" t="s">
        <v>0</v>
      </c>
      <c r="B127" s="1" t="s">
        <v>1</v>
      </c>
      <c r="C127" s="1" t="s">
        <v>144</v>
      </c>
      <c r="D127" s="1" t="s">
        <v>145</v>
      </c>
    </row>
    <row r="128" spans="1:14" x14ac:dyDescent="0.35">
      <c r="A128" t="s">
        <v>248</v>
      </c>
      <c r="B128" t="s">
        <v>248</v>
      </c>
      <c r="C128" t="s">
        <v>25</v>
      </c>
      <c r="D128" t="s">
        <v>5</v>
      </c>
    </row>
    <row r="130" spans="1:14" x14ac:dyDescent="0.35">
      <c r="B130" s="1" t="str">
        <f>'[7]Population Definitions'!$A$3</f>
        <v>asx_hm</v>
      </c>
    </row>
    <row r="131" spans="1:14" x14ac:dyDescent="0.35">
      <c r="A131" s="1" t="str">
        <f>'[7]Population Definitions'!$A$15</f>
        <v>stunting_hm</v>
      </c>
      <c r="B131" s="5" t="s">
        <v>146</v>
      </c>
    </row>
    <row r="133" spans="1:14" x14ac:dyDescent="0.35">
      <c r="A133" s="1" t="s">
        <v>147</v>
      </c>
      <c r="B133" s="1"/>
      <c r="C133" s="1" t="s">
        <v>148</v>
      </c>
      <c r="D133" s="1" t="s">
        <v>28</v>
      </c>
      <c r="E133" s="1" t="s">
        <v>29</v>
      </c>
      <c r="F133" s="1" t="s">
        <v>30</v>
      </c>
      <c r="G133" s="1" t="s">
        <v>31</v>
      </c>
      <c r="H133" s="1"/>
      <c r="I133" s="1">
        <v>2020</v>
      </c>
      <c r="J133" s="1">
        <v>2021</v>
      </c>
      <c r="K133" s="1">
        <v>2022</v>
      </c>
      <c r="L133" s="1">
        <v>2023</v>
      </c>
      <c r="M133" s="1">
        <v>2024</v>
      </c>
      <c r="N133" s="1">
        <v>2025</v>
      </c>
    </row>
    <row r="134" spans="1:14" x14ac:dyDescent="0.35">
      <c r="A134" s="1" t="str">
        <f>IF($B$131="Y",'[7]Population Definitions'!$A$15,"...")</f>
        <v>stunting_hm</v>
      </c>
      <c r="B134" s="4" t="str">
        <f>IF($B$131="Y","---&gt;","...")</f>
        <v>---&gt;</v>
      </c>
      <c r="C134" s="1" t="str">
        <f>IF($B$131="Y",'[7]Population Definitions'!$A$3,"...")</f>
        <v>asx_hm</v>
      </c>
      <c r="D134" t="s">
        <v>32</v>
      </c>
      <c r="E134" s="3" t="s">
        <v>118</v>
      </c>
      <c r="F134" s="3"/>
      <c r="G134" s="3">
        <v>1</v>
      </c>
      <c r="H134" s="4" t="str">
        <f>IF($B$131="Y","OR","...")</f>
        <v>OR</v>
      </c>
      <c r="I134" s="3"/>
      <c r="J134" s="3"/>
      <c r="K134" s="3"/>
      <c r="L134" s="3"/>
      <c r="M134" s="3"/>
      <c r="N134" s="3"/>
    </row>
    <row r="136" spans="1:14" x14ac:dyDescent="0.35">
      <c r="A136" s="1" t="s">
        <v>0</v>
      </c>
      <c r="B136" s="1" t="s">
        <v>1</v>
      </c>
      <c r="C136" s="1" t="s">
        <v>144</v>
      </c>
      <c r="D136" s="1" t="s">
        <v>145</v>
      </c>
    </row>
    <row r="137" spans="1:14" x14ac:dyDescent="0.35">
      <c r="A137" t="s">
        <v>150</v>
      </c>
      <c r="B137" t="s">
        <v>150</v>
      </c>
      <c r="C137" t="s">
        <v>3</v>
      </c>
      <c r="D137" t="s">
        <v>7</v>
      </c>
    </row>
    <row r="139" spans="1:14" x14ac:dyDescent="0.35">
      <c r="B139" s="1" t="str">
        <f>'[7]Population Definitions'!$A$4</f>
        <v>an_hm</v>
      </c>
    </row>
    <row r="140" spans="1:14" x14ac:dyDescent="0.35">
      <c r="A140" s="1" t="str">
        <f>'[7]Population Definitions'!$A$2</f>
        <v>anc_hm</v>
      </c>
      <c r="B140" s="5" t="s">
        <v>146</v>
      </c>
    </row>
    <row r="142" spans="1:14" x14ac:dyDescent="0.35">
      <c r="A142" s="1" t="s">
        <v>147</v>
      </c>
      <c r="B142" s="1"/>
      <c r="C142" s="1" t="s">
        <v>148</v>
      </c>
      <c r="D142" s="1" t="s">
        <v>28</v>
      </c>
      <c r="E142" s="1" t="s">
        <v>29</v>
      </c>
      <c r="F142" s="1" t="s">
        <v>30</v>
      </c>
      <c r="G142" s="1" t="s">
        <v>31</v>
      </c>
      <c r="H142" s="1"/>
      <c r="I142" s="1">
        <v>2020</v>
      </c>
      <c r="J142" s="1">
        <v>2021</v>
      </c>
      <c r="K142" s="1">
        <v>2022</v>
      </c>
      <c r="L142" s="1">
        <v>2023</v>
      </c>
      <c r="M142" s="1">
        <v>2024</v>
      </c>
      <c r="N142" s="1">
        <v>2025</v>
      </c>
    </row>
    <row r="143" spans="1:14" x14ac:dyDescent="0.35">
      <c r="A143" s="1" t="str">
        <f>IF($B$140="Y",'[7]Population Definitions'!$A$2,"...")</f>
        <v>anc_hm</v>
      </c>
      <c r="B143" s="4" t="str">
        <f>IF($B$140="Y","---&gt;","...")</f>
        <v>---&gt;</v>
      </c>
      <c r="C143" s="1" t="str">
        <f>IF($B$140="Y",'[7]Population Definitions'!$A$4,"...")</f>
        <v>an_hm</v>
      </c>
      <c r="D143" t="s">
        <v>32</v>
      </c>
      <c r="E143" s="3" t="s">
        <v>118</v>
      </c>
      <c r="F143" s="3"/>
      <c r="G143" s="3">
        <v>1</v>
      </c>
      <c r="H143" s="4" t="str">
        <f>IF($B$140="Y","OR","...")</f>
        <v>OR</v>
      </c>
      <c r="I143" s="3"/>
      <c r="J143" s="3"/>
      <c r="K143" s="3"/>
      <c r="L143" s="3"/>
      <c r="M143" s="3"/>
      <c r="N143" s="3"/>
    </row>
    <row r="145" spans="1:14" x14ac:dyDescent="0.35">
      <c r="A145" s="1" t="s">
        <v>0</v>
      </c>
      <c r="B145" s="1" t="s">
        <v>1</v>
      </c>
      <c r="C145" s="1" t="s">
        <v>144</v>
      </c>
      <c r="D145" s="1" t="s">
        <v>145</v>
      </c>
    </row>
    <row r="146" spans="1:14" x14ac:dyDescent="0.35">
      <c r="A146" t="s">
        <v>336</v>
      </c>
      <c r="B146" t="s">
        <v>336</v>
      </c>
      <c r="C146" t="s">
        <v>333</v>
      </c>
      <c r="D146" t="s">
        <v>7</v>
      </c>
    </row>
    <row r="148" spans="1:14" x14ac:dyDescent="0.35">
      <c r="B148" s="1" t="str">
        <f>'[7]Population Definitions'!$A$4</f>
        <v>an_hm</v>
      </c>
    </row>
    <row r="149" spans="1:14" x14ac:dyDescent="0.35">
      <c r="A149" s="1" t="str">
        <f>'[7]Population Definitions'!$A$8</f>
        <v>mnut_hm</v>
      </c>
      <c r="B149" s="5" t="s">
        <v>146</v>
      </c>
    </row>
    <row r="151" spans="1:14" x14ac:dyDescent="0.35">
      <c r="A151" s="1" t="s">
        <v>147</v>
      </c>
      <c r="B151" s="1"/>
      <c r="C151" s="1" t="s">
        <v>148</v>
      </c>
      <c r="D151" s="1" t="s">
        <v>28</v>
      </c>
      <c r="E151" s="1" t="s">
        <v>29</v>
      </c>
      <c r="F151" s="1" t="s">
        <v>30</v>
      </c>
      <c r="G151" s="1" t="s">
        <v>31</v>
      </c>
      <c r="H151" s="1"/>
      <c r="I151" s="1">
        <v>2020</v>
      </c>
      <c r="J151" s="1">
        <v>2021</v>
      </c>
      <c r="K151" s="1">
        <v>2022</v>
      </c>
      <c r="L151" s="1">
        <v>2023</v>
      </c>
      <c r="M151" s="1">
        <v>2024</v>
      </c>
      <c r="N151" s="1">
        <v>2025</v>
      </c>
    </row>
    <row r="152" spans="1:14" x14ac:dyDescent="0.35">
      <c r="A152" s="1" t="str">
        <f>IF($B$149="Y",'[7]Population Definitions'!$A$8,"...")</f>
        <v>mnut_hm</v>
      </c>
      <c r="B152" s="4" t="str">
        <f>IF($B$149="Y","---&gt;","...")</f>
        <v>---&gt;</v>
      </c>
      <c r="C152" s="1" t="str">
        <f>IF($B$149="Y",'[7]Population Definitions'!$A$4,"...")</f>
        <v>an_hm</v>
      </c>
      <c r="D152" t="s">
        <v>32</v>
      </c>
      <c r="E152" s="3" t="s">
        <v>118</v>
      </c>
      <c r="F152" s="3"/>
      <c r="G152" s="3">
        <v>1</v>
      </c>
      <c r="H152" s="4" t="str">
        <f>IF($B$149="Y","OR","...")</f>
        <v>OR</v>
      </c>
      <c r="I152" s="3"/>
      <c r="J152" s="3"/>
      <c r="K152" s="3"/>
      <c r="L152" s="3"/>
      <c r="M152" s="3"/>
      <c r="N152" s="3"/>
    </row>
    <row r="154" spans="1:14" x14ac:dyDescent="0.35">
      <c r="A154" s="1" t="s">
        <v>0</v>
      </c>
      <c r="B154" s="1" t="s">
        <v>1</v>
      </c>
      <c r="C154" s="1" t="s">
        <v>144</v>
      </c>
      <c r="D154" s="1" t="s">
        <v>145</v>
      </c>
    </row>
    <row r="155" spans="1:14" x14ac:dyDescent="0.35">
      <c r="A155" t="s">
        <v>151</v>
      </c>
      <c r="B155" t="s">
        <v>151</v>
      </c>
      <c r="C155" t="s">
        <v>9</v>
      </c>
      <c r="D155" t="s">
        <v>7</v>
      </c>
    </row>
    <row r="157" spans="1:14" x14ac:dyDescent="0.35">
      <c r="B157" s="1" t="str">
        <f>'[7]Population Definitions'!$A$4</f>
        <v>an_hm</v>
      </c>
    </row>
    <row r="158" spans="1:14" x14ac:dyDescent="0.35">
      <c r="A158" s="1" t="str">
        <f>'[7]Population Definitions'!$A$5</f>
        <v>hm_hm</v>
      </c>
      <c r="B158" s="5" t="s">
        <v>146</v>
      </c>
    </row>
    <row r="160" spans="1:14" x14ac:dyDescent="0.35">
      <c r="A160" s="1" t="s">
        <v>147</v>
      </c>
      <c r="B160" s="1"/>
      <c r="C160" s="1" t="s">
        <v>148</v>
      </c>
      <c r="D160" s="1" t="s">
        <v>28</v>
      </c>
      <c r="E160" s="1" t="s">
        <v>29</v>
      </c>
      <c r="F160" s="1" t="s">
        <v>30</v>
      </c>
      <c r="G160" s="1" t="s">
        <v>31</v>
      </c>
      <c r="H160" s="1"/>
      <c r="I160" s="1">
        <v>2020</v>
      </c>
      <c r="J160" s="1">
        <v>2021</v>
      </c>
      <c r="K160" s="1">
        <v>2022</v>
      </c>
      <c r="L160" s="1">
        <v>2023</v>
      </c>
      <c r="M160" s="1">
        <v>2024</v>
      </c>
      <c r="N160" s="1">
        <v>2025</v>
      </c>
    </row>
    <row r="161" spans="1:14" x14ac:dyDescent="0.35">
      <c r="A161" s="1" t="str">
        <f>IF($B$158="Y",'[7]Population Definitions'!$A$5,"...")</f>
        <v>hm_hm</v>
      </c>
      <c r="B161" s="4" t="str">
        <f>IF($B$158="Y","---&gt;","...")</f>
        <v>---&gt;</v>
      </c>
      <c r="C161" s="1" t="str">
        <f>IF($B$158="Y",'[7]Population Definitions'!$A$4,"...")</f>
        <v>an_hm</v>
      </c>
      <c r="D161" t="s">
        <v>32</v>
      </c>
      <c r="E161" s="3" t="s">
        <v>118</v>
      </c>
      <c r="F161" s="3"/>
      <c r="G161" s="3">
        <v>1</v>
      </c>
      <c r="H161" s="4" t="str">
        <f>IF($B$158="Y","OR","...")</f>
        <v>OR</v>
      </c>
      <c r="I161" s="3"/>
      <c r="J161" s="3"/>
      <c r="K161" s="3"/>
      <c r="L161" s="3"/>
      <c r="M161" s="3"/>
      <c r="N161" s="3"/>
    </row>
    <row r="163" spans="1:14" x14ac:dyDescent="0.35">
      <c r="A163" s="1" t="s">
        <v>0</v>
      </c>
      <c r="B163" s="1" t="s">
        <v>1</v>
      </c>
      <c r="C163" s="1" t="s">
        <v>144</v>
      </c>
      <c r="D163" s="1" t="s">
        <v>145</v>
      </c>
    </row>
    <row r="164" spans="1:14" x14ac:dyDescent="0.35">
      <c r="A164" t="s">
        <v>187</v>
      </c>
      <c r="B164" t="s">
        <v>187</v>
      </c>
      <c r="C164" t="s">
        <v>13</v>
      </c>
      <c r="D164" t="s">
        <v>7</v>
      </c>
    </row>
    <row r="166" spans="1:14" x14ac:dyDescent="0.35">
      <c r="B166" s="1" t="str">
        <f>'[7]Population Definitions'!$A$4</f>
        <v>an_hm</v>
      </c>
    </row>
    <row r="167" spans="1:14" x14ac:dyDescent="0.35">
      <c r="A167" s="1" t="str">
        <f>'[7]Population Definitions'!$A$9</f>
        <v>ol_hm</v>
      </c>
      <c r="B167" s="5" t="s">
        <v>146</v>
      </c>
    </row>
    <row r="169" spans="1:14" x14ac:dyDescent="0.35">
      <c r="A169" s="1" t="s">
        <v>147</v>
      </c>
      <c r="B169" s="1"/>
      <c r="C169" s="1" t="s">
        <v>148</v>
      </c>
      <c r="D169" s="1" t="s">
        <v>28</v>
      </c>
      <c r="E169" s="1" t="s">
        <v>29</v>
      </c>
      <c r="F169" s="1" t="s">
        <v>30</v>
      </c>
      <c r="G169" s="1" t="s">
        <v>31</v>
      </c>
      <c r="H169" s="1"/>
      <c r="I169" s="1">
        <v>2020</v>
      </c>
      <c r="J169" s="1">
        <v>2021</v>
      </c>
      <c r="K169" s="1">
        <v>2022</v>
      </c>
      <c r="L169" s="1">
        <v>2023</v>
      </c>
      <c r="M169" s="1">
        <v>2024</v>
      </c>
      <c r="N169" s="1">
        <v>2025</v>
      </c>
    </row>
    <row r="170" spans="1:14" x14ac:dyDescent="0.35">
      <c r="A170" s="1" t="str">
        <f>IF($B$167="Y",'[7]Population Definitions'!$A$9,"...")</f>
        <v>ol_hm</v>
      </c>
      <c r="B170" s="4" t="str">
        <f>IF($B$167="Y","---&gt;","...")</f>
        <v>---&gt;</v>
      </c>
      <c r="C170" s="1" t="str">
        <f>IF($B$167="Y",'[7]Population Definitions'!$A$4,"...")</f>
        <v>an_hm</v>
      </c>
      <c r="D170" t="s">
        <v>32</v>
      </c>
      <c r="E170" s="3" t="s">
        <v>118</v>
      </c>
      <c r="F170" s="3"/>
      <c r="G170" s="3">
        <v>1</v>
      </c>
      <c r="H170" s="4" t="str">
        <f>IF($B$167="Y","OR","...")</f>
        <v>OR</v>
      </c>
      <c r="I170" s="3"/>
      <c r="J170" s="3"/>
      <c r="K170" s="3"/>
      <c r="L170" s="3"/>
      <c r="M170" s="3"/>
      <c r="N170" s="3"/>
    </row>
    <row r="172" spans="1:14" x14ac:dyDescent="0.35">
      <c r="A172" s="1" t="s">
        <v>0</v>
      </c>
      <c r="B172" s="1" t="s">
        <v>1</v>
      </c>
      <c r="C172" s="1" t="s">
        <v>144</v>
      </c>
      <c r="D172" s="1" t="s">
        <v>145</v>
      </c>
    </row>
    <row r="173" spans="1:14" x14ac:dyDescent="0.35">
      <c r="A173" t="s">
        <v>277</v>
      </c>
      <c r="B173" t="s">
        <v>277</v>
      </c>
      <c r="C173" t="s">
        <v>19</v>
      </c>
      <c r="D173" t="s">
        <v>7</v>
      </c>
    </row>
    <row r="175" spans="1:14" x14ac:dyDescent="0.35">
      <c r="B175" s="1" t="str">
        <f>'[7]Population Definitions'!$A$4</f>
        <v>an_hm</v>
      </c>
    </row>
    <row r="176" spans="1:14" x14ac:dyDescent="0.35">
      <c r="A176" s="1" t="str">
        <f>'[7]Population Definitions'!$A$12</f>
        <v>pt_hm</v>
      </c>
      <c r="B176" s="5" t="s">
        <v>146</v>
      </c>
    </row>
    <row r="178" spans="1:14" x14ac:dyDescent="0.35">
      <c r="A178" s="1" t="s">
        <v>147</v>
      </c>
      <c r="B178" s="1"/>
      <c r="C178" s="1" t="s">
        <v>148</v>
      </c>
      <c r="D178" s="1" t="s">
        <v>28</v>
      </c>
      <c r="E178" s="1" t="s">
        <v>29</v>
      </c>
      <c r="F178" s="1" t="s">
        <v>30</v>
      </c>
      <c r="G178" s="1" t="s">
        <v>31</v>
      </c>
      <c r="H178" s="1"/>
      <c r="I178" s="1">
        <v>2020</v>
      </c>
      <c r="J178" s="1">
        <v>2021</v>
      </c>
      <c r="K178" s="1">
        <v>2022</v>
      </c>
      <c r="L178" s="1">
        <v>2023</v>
      </c>
      <c r="M178" s="1">
        <v>2024</v>
      </c>
      <c r="N178" s="1">
        <v>2025</v>
      </c>
    </row>
    <row r="179" spans="1:14" x14ac:dyDescent="0.35">
      <c r="A179" s="1" t="str">
        <f>IF($B$176="Y",'[7]Population Definitions'!$A$12,"...")</f>
        <v>pt_hm</v>
      </c>
      <c r="B179" s="4" t="str">
        <f>IF($B$176="Y","---&gt;","...")</f>
        <v>---&gt;</v>
      </c>
      <c r="C179" s="1" t="str">
        <f>IF($B$176="Y",'[7]Population Definitions'!$A$4,"...")</f>
        <v>an_hm</v>
      </c>
      <c r="D179" t="s">
        <v>32</v>
      </c>
      <c r="E179" s="3" t="s">
        <v>118</v>
      </c>
      <c r="F179" s="3"/>
      <c r="G179" s="3">
        <v>1</v>
      </c>
      <c r="H179" s="4" t="str">
        <f>IF($B$176="Y","OR","...")</f>
        <v>OR</v>
      </c>
      <c r="I179" s="3"/>
      <c r="J179" s="3"/>
      <c r="K179" s="3"/>
      <c r="L179" s="3"/>
      <c r="M179" s="3"/>
      <c r="N179" s="3"/>
    </row>
    <row r="181" spans="1:14" x14ac:dyDescent="0.35">
      <c r="A181" s="1" t="s">
        <v>0</v>
      </c>
      <c r="B181" s="1" t="s">
        <v>1</v>
      </c>
      <c r="C181" s="1" t="s">
        <v>144</v>
      </c>
      <c r="D181" s="1" t="s">
        <v>145</v>
      </c>
    </row>
    <row r="182" spans="1:14" x14ac:dyDescent="0.35">
      <c r="A182" t="s">
        <v>188</v>
      </c>
      <c r="B182" t="s">
        <v>188</v>
      </c>
      <c r="C182" t="s">
        <v>11</v>
      </c>
      <c r="D182" t="s">
        <v>7</v>
      </c>
    </row>
    <row r="184" spans="1:14" x14ac:dyDescent="0.35">
      <c r="B184" s="1" t="str">
        <f>'[7]Population Definitions'!$A$4</f>
        <v>an_hm</v>
      </c>
    </row>
    <row r="185" spans="1:14" x14ac:dyDescent="0.35">
      <c r="A185" s="1" t="str">
        <f>'[7]Population Definitions'!$A$6</f>
        <v>msep_hm</v>
      </c>
      <c r="B185" s="5" t="s">
        <v>146</v>
      </c>
    </row>
    <row r="187" spans="1:14" x14ac:dyDescent="0.35">
      <c r="A187" s="1" t="s">
        <v>147</v>
      </c>
      <c r="B187" s="1"/>
      <c r="C187" s="1" t="s">
        <v>148</v>
      </c>
      <c r="D187" s="1" t="s">
        <v>28</v>
      </c>
      <c r="E187" s="1" t="s">
        <v>29</v>
      </c>
      <c r="F187" s="1" t="s">
        <v>30</v>
      </c>
      <c r="G187" s="1" t="s">
        <v>31</v>
      </c>
      <c r="H187" s="1"/>
      <c r="I187" s="1">
        <v>2020</v>
      </c>
      <c r="J187" s="1">
        <v>2021</v>
      </c>
      <c r="K187" s="1">
        <v>2022</v>
      </c>
      <c r="L187" s="1">
        <v>2023</v>
      </c>
      <c r="M187" s="1">
        <v>2024</v>
      </c>
      <c r="N187" s="1">
        <v>2025</v>
      </c>
    </row>
    <row r="188" spans="1:14" x14ac:dyDescent="0.35">
      <c r="A188" s="1" t="str">
        <f>IF($B$185="Y",'[7]Population Definitions'!$A$6,"...")</f>
        <v>msep_hm</v>
      </c>
      <c r="B188" s="4" t="str">
        <f>IF($B$185="Y","---&gt;","...")</f>
        <v>---&gt;</v>
      </c>
      <c r="C188" s="1" t="str">
        <f>IF($B$185="Y",'[7]Population Definitions'!$A$4,"...")</f>
        <v>an_hm</v>
      </c>
      <c r="D188" t="s">
        <v>32</v>
      </c>
      <c r="E188" s="3" t="s">
        <v>118</v>
      </c>
      <c r="F188" s="3"/>
      <c r="G188" s="3">
        <v>1</v>
      </c>
      <c r="H188" s="4" t="str">
        <f>IF($B$185="Y","OR","...")</f>
        <v>OR</v>
      </c>
      <c r="I188" s="3"/>
      <c r="J188" s="3"/>
      <c r="K188" s="3"/>
      <c r="L188" s="3"/>
      <c r="M188" s="3"/>
      <c r="N188" s="3"/>
    </row>
    <row r="190" spans="1:14" x14ac:dyDescent="0.35">
      <c r="A190" s="1" t="s">
        <v>0</v>
      </c>
      <c r="B190" s="1" t="s">
        <v>1</v>
      </c>
      <c r="C190" s="1" t="s">
        <v>144</v>
      </c>
      <c r="D190" s="1" t="s">
        <v>145</v>
      </c>
    </row>
    <row r="191" spans="1:14" x14ac:dyDescent="0.35">
      <c r="A191" t="s">
        <v>189</v>
      </c>
      <c r="B191" t="s">
        <v>189</v>
      </c>
      <c r="C191" t="s">
        <v>7</v>
      </c>
      <c r="D191" t="s">
        <v>7</v>
      </c>
    </row>
    <row r="193" spans="1:14" x14ac:dyDescent="0.35">
      <c r="B193" s="1" t="str">
        <f>'[7]Population Definitions'!$A$4</f>
        <v>an_hm</v>
      </c>
    </row>
    <row r="194" spans="1:14" x14ac:dyDescent="0.35">
      <c r="A194" s="1" t="str">
        <f>'[7]Population Definitions'!$A$4</f>
        <v>an_hm</v>
      </c>
      <c r="B194" s="5" t="s">
        <v>146</v>
      </c>
    </row>
    <row r="196" spans="1:14" x14ac:dyDescent="0.35">
      <c r="A196" s="1" t="s">
        <v>147</v>
      </c>
      <c r="B196" s="1"/>
      <c r="C196" s="1" t="s">
        <v>148</v>
      </c>
      <c r="D196" s="1" t="s">
        <v>28</v>
      </c>
      <c r="E196" s="1" t="s">
        <v>29</v>
      </c>
      <c r="F196" s="1" t="s">
        <v>30</v>
      </c>
      <c r="G196" s="1" t="s">
        <v>31</v>
      </c>
      <c r="H196" s="1"/>
      <c r="I196" s="1">
        <v>2020</v>
      </c>
      <c r="J196" s="1">
        <v>2021</v>
      </c>
      <c r="K196" s="1">
        <v>2022</v>
      </c>
      <c r="L196" s="1">
        <v>2023</v>
      </c>
      <c r="M196" s="1">
        <v>2024</v>
      </c>
      <c r="N196" s="1">
        <v>2025</v>
      </c>
    </row>
    <row r="197" spans="1:14" x14ac:dyDescent="0.35">
      <c r="A197" s="1" t="str">
        <f>IF($B$194="Y",'[7]Population Definitions'!$A$4,"...")</f>
        <v>an_hm</v>
      </c>
      <c r="B197" s="4" t="str">
        <f>IF($B$194="Y","---&gt;","...")</f>
        <v>---&gt;</v>
      </c>
      <c r="C197" s="1" t="str">
        <f>IF($B$194="Y",'[7]Population Definitions'!$A$4,"...")</f>
        <v>an_hm</v>
      </c>
      <c r="D197" t="s">
        <v>32</v>
      </c>
      <c r="E197" s="3" t="s">
        <v>118</v>
      </c>
      <c r="F197" s="3"/>
      <c r="G197" s="3">
        <v>1</v>
      </c>
      <c r="H197" s="4" t="str">
        <f>IF($B$194="Y","OR","...")</f>
        <v>OR</v>
      </c>
      <c r="I197" s="3"/>
      <c r="J197" s="3"/>
      <c r="K197" s="3"/>
      <c r="L197" s="3"/>
      <c r="M197" s="3"/>
      <c r="N197" s="3"/>
    </row>
    <row r="199" spans="1:14" x14ac:dyDescent="0.35">
      <c r="A199" s="1" t="s">
        <v>0</v>
      </c>
      <c r="B199" s="1" t="s">
        <v>1</v>
      </c>
      <c r="C199" s="1" t="s">
        <v>144</v>
      </c>
      <c r="D199" s="1" t="s">
        <v>145</v>
      </c>
    </row>
    <row r="200" spans="1:14" x14ac:dyDescent="0.35">
      <c r="A200" t="s">
        <v>152</v>
      </c>
      <c r="B200" t="s">
        <v>152</v>
      </c>
      <c r="C200" t="s">
        <v>3</v>
      </c>
      <c r="D200" t="s">
        <v>9</v>
      </c>
    </row>
    <row r="202" spans="1:14" x14ac:dyDescent="0.35">
      <c r="B202" s="1" t="str">
        <f>'[7]Population Definitions'!$A$5</f>
        <v>hm_hm</v>
      </c>
    </row>
    <row r="203" spans="1:14" x14ac:dyDescent="0.35">
      <c r="A203" s="1" t="str">
        <f>'[7]Population Definitions'!$A$2</f>
        <v>anc_hm</v>
      </c>
      <c r="B203" s="5" t="s">
        <v>146</v>
      </c>
    </row>
    <row r="205" spans="1:14" x14ac:dyDescent="0.35">
      <c r="A205" s="1" t="s">
        <v>147</v>
      </c>
      <c r="B205" s="1"/>
      <c r="C205" s="1" t="s">
        <v>148</v>
      </c>
      <c r="D205" s="1" t="s">
        <v>28</v>
      </c>
      <c r="E205" s="1" t="s">
        <v>29</v>
      </c>
      <c r="F205" s="1" t="s">
        <v>30</v>
      </c>
      <c r="G205" s="1" t="s">
        <v>31</v>
      </c>
      <c r="H205" s="1"/>
      <c r="I205" s="1">
        <v>2020</v>
      </c>
      <c r="J205" s="1">
        <v>2021</v>
      </c>
      <c r="K205" s="1">
        <v>2022</v>
      </c>
      <c r="L205" s="1">
        <v>2023</v>
      </c>
      <c r="M205" s="1">
        <v>2024</v>
      </c>
      <c r="N205" s="1">
        <v>2025</v>
      </c>
    </row>
    <row r="206" spans="1:14" x14ac:dyDescent="0.35">
      <c r="A206" s="1" t="str">
        <f>IF($B$203="Y",'[7]Population Definitions'!$A$2,"...")</f>
        <v>anc_hm</v>
      </c>
      <c r="B206" s="4" t="str">
        <f>IF($B$203="Y","---&gt;","...")</f>
        <v>---&gt;</v>
      </c>
      <c r="C206" s="1" t="str">
        <f>IF($B$203="Y",'[7]Population Definitions'!$A$5,"...")</f>
        <v>hm_hm</v>
      </c>
      <c r="D206" t="s">
        <v>32</v>
      </c>
      <c r="E206" s="3" t="s">
        <v>118</v>
      </c>
      <c r="F206" s="3"/>
      <c r="G206" s="3">
        <v>1</v>
      </c>
      <c r="H206" s="4" t="str">
        <f>IF($B$203="Y","OR","...")</f>
        <v>OR</v>
      </c>
      <c r="I206" s="3"/>
      <c r="J206" s="3"/>
      <c r="K206" s="3"/>
      <c r="L206" s="3"/>
      <c r="M206" s="3"/>
      <c r="N206" s="3"/>
    </row>
    <row r="208" spans="1:14" x14ac:dyDescent="0.35">
      <c r="A208" s="1" t="s">
        <v>0</v>
      </c>
      <c r="B208" s="1" t="s">
        <v>1</v>
      </c>
      <c r="C208" s="1" t="s">
        <v>144</v>
      </c>
      <c r="D208" s="1" t="s">
        <v>145</v>
      </c>
    </row>
    <row r="209" spans="1:14" x14ac:dyDescent="0.35">
      <c r="A209" t="s">
        <v>153</v>
      </c>
      <c r="B209" t="s">
        <v>153</v>
      </c>
      <c r="C209" t="s">
        <v>7</v>
      </c>
      <c r="D209" t="s">
        <v>9</v>
      </c>
    </row>
    <row r="211" spans="1:14" x14ac:dyDescent="0.35">
      <c r="B211" s="1" t="str">
        <f>'[7]Population Definitions'!$A$5</f>
        <v>hm_hm</v>
      </c>
    </row>
    <row r="212" spans="1:14" x14ac:dyDescent="0.35">
      <c r="A212" s="1" t="str">
        <f>'[7]Population Definitions'!$A$4</f>
        <v>an_hm</v>
      </c>
      <c r="B212" s="5" t="s">
        <v>146</v>
      </c>
    </row>
    <row r="214" spans="1:14" x14ac:dyDescent="0.35">
      <c r="A214" s="1" t="s">
        <v>147</v>
      </c>
      <c r="B214" s="1"/>
      <c r="C214" s="1" t="s">
        <v>148</v>
      </c>
      <c r="D214" s="1" t="s">
        <v>28</v>
      </c>
      <c r="E214" s="1" t="s">
        <v>29</v>
      </c>
      <c r="F214" s="1" t="s">
        <v>30</v>
      </c>
      <c r="G214" s="1" t="s">
        <v>31</v>
      </c>
      <c r="H214" s="1"/>
      <c r="I214" s="1">
        <v>2020</v>
      </c>
      <c r="J214" s="1">
        <v>2021</v>
      </c>
      <c r="K214" s="1">
        <v>2022</v>
      </c>
      <c r="L214" s="1">
        <v>2023</v>
      </c>
      <c r="M214" s="1">
        <v>2024</v>
      </c>
      <c r="N214" s="1">
        <v>2025</v>
      </c>
    </row>
    <row r="215" spans="1:14" x14ac:dyDescent="0.35">
      <c r="A215" s="1" t="str">
        <f>IF($B$212="Y",'[7]Population Definitions'!$A$4,"...")</f>
        <v>an_hm</v>
      </c>
      <c r="B215" s="4" t="str">
        <f>IF($B$212="Y","---&gt;","...")</f>
        <v>---&gt;</v>
      </c>
      <c r="C215" s="1" t="str">
        <f>IF($B$212="Y",'[7]Population Definitions'!$A$5,"...")</f>
        <v>hm_hm</v>
      </c>
      <c r="D215" t="s">
        <v>32</v>
      </c>
      <c r="E215" s="3" t="s">
        <v>118</v>
      </c>
      <c r="F215" s="3"/>
      <c r="G215" s="3">
        <v>1</v>
      </c>
      <c r="H215" s="4" t="str">
        <f>IF($B$212="Y","OR","...")</f>
        <v>OR</v>
      </c>
      <c r="I215" s="3"/>
      <c r="J215" s="3"/>
      <c r="K215" s="3"/>
      <c r="L215" s="3"/>
      <c r="M215" s="3"/>
      <c r="N215" s="3"/>
    </row>
    <row r="217" spans="1:14" x14ac:dyDescent="0.35">
      <c r="A217" s="1" t="s">
        <v>0</v>
      </c>
      <c r="B217" s="1" t="s">
        <v>1</v>
      </c>
      <c r="C217" s="1" t="s">
        <v>144</v>
      </c>
      <c r="D217" s="1" t="s">
        <v>145</v>
      </c>
    </row>
    <row r="218" spans="1:14" x14ac:dyDescent="0.35">
      <c r="A218" t="s">
        <v>154</v>
      </c>
      <c r="B218" t="s">
        <v>154</v>
      </c>
      <c r="C218" t="s">
        <v>9</v>
      </c>
      <c r="D218" t="s">
        <v>9</v>
      </c>
    </row>
    <row r="220" spans="1:14" x14ac:dyDescent="0.35">
      <c r="B220" s="1" t="str">
        <f>'[7]Population Definitions'!$A$5</f>
        <v>hm_hm</v>
      </c>
    </row>
    <row r="221" spans="1:14" x14ac:dyDescent="0.35">
      <c r="A221" s="1" t="str">
        <f>'[7]Population Definitions'!$A$5</f>
        <v>hm_hm</v>
      </c>
      <c r="B221" s="5" t="s">
        <v>146</v>
      </c>
    </row>
    <row r="223" spans="1:14" x14ac:dyDescent="0.35">
      <c r="A223" s="1" t="s">
        <v>147</v>
      </c>
      <c r="B223" s="1"/>
      <c r="C223" s="1" t="s">
        <v>148</v>
      </c>
      <c r="D223" s="1" t="s">
        <v>28</v>
      </c>
      <c r="E223" s="1" t="s">
        <v>29</v>
      </c>
      <c r="F223" s="1" t="s">
        <v>30</v>
      </c>
      <c r="G223" s="1" t="s">
        <v>31</v>
      </c>
      <c r="H223" s="1"/>
      <c r="I223" s="1">
        <v>2020</v>
      </c>
      <c r="J223" s="1">
        <v>2021</v>
      </c>
      <c r="K223" s="1">
        <v>2022</v>
      </c>
      <c r="L223" s="1">
        <v>2023</v>
      </c>
      <c r="M223" s="1">
        <v>2024</v>
      </c>
      <c r="N223" s="1">
        <v>2025</v>
      </c>
    </row>
    <row r="224" spans="1:14" x14ac:dyDescent="0.35">
      <c r="A224" s="1" t="str">
        <f>IF($B$221="Y",'[7]Population Definitions'!$A$5,"...")</f>
        <v>hm_hm</v>
      </c>
      <c r="B224" s="4" t="str">
        <f>IF($B$221="Y","---&gt;","...")</f>
        <v>---&gt;</v>
      </c>
      <c r="C224" s="1" t="str">
        <f>IF($B$221="Y",'[7]Population Definitions'!$A$5,"...")</f>
        <v>hm_hm</v>
      </c>
      <c r="D224" t="s">
        <v>32</v>
      </c>
      <c r="E224" s="3" t="s">
        <v>118</v>
      </c>
      <c r="F224" s="3"/>
      <c r="G224" s="3">
        <v>1</v>
      </c>
      <c r="H224" s="4" t="str">
        <f>IF($B$221="Y","OR","...")</f>
        <v>OR</v>
      </c>
      <c r="I224" s="3"/>
      <c r="J224" s="3"/>
      <c r="K224" s="3"/>
      <c r="L224" s="3"/>
      <c r="M224" s="3"/>
      <c r="N224" s="3"/>
    </row>
    <row r="226" spans="1:14" x14ac:dyDescent="0.35">
      <c r="A226" s="1" t="s">
        <v>0</v>
      </c>
      <c r="B226" s="1" t="s">
        <v>1</v>
      </c>
      <c r="C226" s="1" t="s">
        <v>144</v>
      </c>
      <c r="D226" s="1" t="s">
        <v>145</v>
      </c>
    </row>
    <row r="227" spans="1:14" x14ac:dyDescent="0.35">
      <c r="A227" t="s">
        <v>155</v>
      </c>
      <c r="B227" t="s">
        <v>155</v>
      </c>
      <c r="C227" t="s">
        <v>13</v>
      </c>
      <c r="D227" t="s">
        <v>9</v>
      </c>
    </row>
    <row r="229" spans="1:14" x14ac:dyDescent="0.35">
      <c r="B229" s="1" t="str">
        <f>'[7]Population Definitions'!$A$5</f>
        <v>hm_hm</v>
      </c>
    </row>
    <row r="230" spans="1:14" x14ac:dyDescent="0.35">
      <c r="A230" s="1" t="str">
        <f>'[7]Population Definitions'!$A$9</f>
        <v>ol_hm</v>
      </c>
      <c r="B230" s="5" t="s">
        <v>146</v>
      </c>
    </row>
    <row r="232" spans="1:14" x14ac:dyDescent="0.35">
      <c r="A232" s="1" t="s">
        <v>147</v>
      </c>
      <c r="B232" s="1"/>
      <c r="C232" s="1" t="s">
        <v>148</v>
      </c>
      <c r="D232" s="1" t="s">
        <v>28</v>
      </c>
      <c r="E232" s="1" t="s">
        <v>29</v>
      </c>
      <c r="F232" s="1" t="s">
        <v>30</v>
      </c>
      <c r="G232" s="1" t="s">
        <v>31</v>
      </c>
      <c r="H232" s="1"/>
      <c r="I232" s="1">
        <v>2020</v>
      </c>
      <c r="J232" s="1">
        <v>2021</v>
      </c>
      <c r="K232" s="1">
        <v>2022</v>
      </c>
      <c r="L232" s="1">
        <v>2023</v>
      </c>
      <c r="M232" s="1">
        <v>2024</v>
      </c>
      <c r="N232" s="1">
        <v>2025</v>
      </c>
    </row>
    <row r="233" spans="1:14" x14ac:dyDescent="0.35">
      <c r="A233" s="1" t="str">
        <f>IF($B$230="Y",'[7]Population Definitions'!$A$9,"...")</f>
        <v>ol_hm</v>
      </c>
      <c r="B233" s="4" t="str">
        <f>IF($B$230="Y","---&gt;","...")</f>
        <v>---&gt;</v>
      </c>
      <c r="C233" s="1" t="str">
        <f>IF($B$230="Y",'[7]Population Definitions'!$A$5,"...")</f>
        <v>hm_hm</v>
      </c>
      <c r="D233" t="s">
        <v>32</v>
      </c>
      <c r="E233" s="3" t="s">
        <v>118</v>
      </c>
      <c r="F233" s="3"/>
      <c r="G233" s="3">
        <v>1</v>
      </c>
      <c r="H233" s="4" t="str">
        <f>IF($B$230="Y","OR","...")</f>
        <v>OR</v>
      </c>
      <c r="I233" s="3"/>
      <c r="J233" s="3"/>
      <c r="K233" s="3"/>
      <c r="L233" s="3"/>
      <c r="M233" s="3"/>
      <c r="N233" s="3"/>
    </row>
    <row r="235" spans="1:14" x14ac:dyDescent="0.35">
      <c r="A235" s="1" t="s">
        <v>0</v>
      </c>
      <c r="B235" s="1" t="s">
        <v>1</v>
      </c>
      <c r="C235" s="1" t="s">
        <v>144</v>
      </c>
      <c r="D235" s="1" t="s">
        <v>145</v>
      </c>
    </row>
    <row r="236" spans="1:14" x14ac:dyDescent="0.35">
      <c r="A236" t="s">
        <v>156</v>
      </c>
      <c r="B236" t="s">
        <v>156</v>
      </c>
      <c r="C236" t="s">
        <v>19</v>
      </c>
      <c r="D236" t="s">
        <v>9</v>
      </c>
    </row>
    <row r="238" spans="1:14" x14ac:dyDescent="0.35">
      <c r="B238" s="1" t="str">
        <f>'[7]Population Definitions'!$A$5</f>
        <v>hm_hm</v>
      </c>
    </row>
    <row r="239" spans="1:14" x14ac:dyDescent="0.35">
      <c r="A239" s="1" t="str">
        <f>'[7]Population Definitions'!$A$12</f>
        <v>pt_hm</v>
      </c>
      <c r="B239" s="5" t="s">
        <v>146</v>
      </c>
    </row>
    <row r="241" spans="1:14" x14ac:dyDescent="0.35">
      <c r="A241" s="1" t="s">
        <v>147</v>
      </c>
      <c r="B241" s="1"/>
      <c r="C241" s="1" t="s">
        <v>148</v>
      </c>
      <c r="D241" s="1" t="s">
        <v>28</v>
      </c>
      <c r="E241" s="1" t="s">
        <v>29</v>
      </c>
      <c r="F241" s="1" t="s">
        <v>30</v>
      </c>
      <c r="G241" s="1" t="s">
        <v>31</v>
      </c>
      <c r="H241" s="1"/>
      <c r="I241" s="1">
        <v>2020</v>
      </c>
      <c r="J241" s="1">
        <v>2021</v>
      </c>
      <c r="K241" s="1">
        <v>2022</v>
      </c>
      <c r="L241" s="1">
        <v>2023</v>
      </c>
      <c r="M241" s="1">
        <v>2024</v>
      </c>
      <c r="N241" s="1">
        <v>2025</v>
      </c>
    </row>
    <row r="242" spans="1:14" x14ac:dyDescent="0.35">
      <c r="A242" s="1" t="str">
        <f>IF($B$239="Y",'[7]Population Definitions'!$A$12,"...")</f>
        <v>pt_hm</v>
      </c>
      <c r="B242" s="4" t="str">
        <f>IF($B$239="Y","---&gt;","...")</f>
        <v>---&gt;</v>
      </c>
      <c r="C242" s="1" t="str">
        <f>IF($B$239="Y",'[7]Population Definitions'!$A$5,"...")</f>
        <v>hm_hm</v>
      </c>
      <c r="D242" t="s">
        <v>32</v>
      </c>
      <c r="E242" s="3" t="s">
        <v>118</v>
      </c>
      <c r="F242" s="3"/>
      <c r="G242" s="3">
        <v>1</v>
      </c>
      <c r="H242" s="4" t="str">
        <f>IF($B$239="Y","OR","...")</f>
        <v>OR</v>
      </c>
      <c r="I242" s="3"/>
      <c r="J242" s="3"/>
      <c r="K242" s="3"/>
      <c r="L242" s="3"/>
      <c r="M242" s="3"/>
      <c r="N242" s="3"/>
    </row>
    <row r="244" spans="1:14" x14ac:dyDescent="0.35">
      <c r="A244" s="1" t="s">
        <v>0</v>
      </c>
      <c r="B244" s="1" t="s">
        <v>1</v>
      </c>
      <c r="C244" s="1" t="s">
        <v>144</v>
      </c>
      <c r="D244" s="1" t="s">
        <v>145</v>
      </c>
    </row>
    <row r="245" spans="1:14" x14ac:dyDescent="0.35">
      <c r="A245" t="s">
        <v>157</v>
      </c>
      <c r="B245" t="s">
        <v>157</v>
      </c>
      <c r="C245" t="s">
        <v>11</v>
      </c>
      <c r="D245" t="s">
        <v>9</v>
      </c>
    </row>
    <row r="247" spans="1:14" x14ac:dyDescent="0.35">
      <c r="B247" s="1" t="str">
        <f>'[7]Population Definitions'!$A$5</f>
        <v>hm_hm</v>
      </c>
    </row>
    <row r="248" spans="1:14" x14ac:dyDescent="0.35">
      <c r="A248" s="1" t="str">
        <f>'[7]Population Definitions'!$A$6</f>
        <v>msep_hm</v>
      </c>
      <c r="B248" s="5" t="s">
        <v>146</v>
      </c>
    </row>
    <row r="250" spans="1:14" x14ac:dyDescent="0.35">
      <c r="A250" s="1" t="s">
        <v>147</v>
      </c>
      <c r="B250" s="1"/>
      <c r="C250" s="1" t="s">
        <v>148</v>
      </c>
      <c r="D250" s="1" t="s">
        <v>28</v>
      </c>
      <c r="E250" s="1" t="s">
        <v>29</v>
      </c>
      <c r="F250" s="1" t="s">
        <v>30</v>
      </c>
      <c r="G250" s="1" t="s">
        <v>31</v>
      </c>
      <c r="H250" s="1"/>
      <c r="I250" s="1">
        <v>2020</v>
      </c>
      <c r="J250" s="1">
        <v>2021</v>
      </c>
      <c r="K250" s="1">
        <v>2022</v>
      </c>
      <c r="L250" s="1">
        <v>2023</v>
      </c>
      <c r="M250" s="1">
        <v>2024</v>
      </c>
      <c r="N250" s="1">
        <v>2025</v>
      </c>
    </row>
    <row r="251" spans="1:14" x14ac:dyDescent="0.35">
      <c r="A251" s="1" t="str">
        <f>IF($B$248="Y",'[7]Population Definitions'!$A$6,"...")</f>
        <v>msep_hm</v>
      </c>
      <c r="B251" s="4" t="str">
        <f>IF($B$248="Y","---&gt;","...")</f>
        <v>---&gt;</v>
      </c>
      <c r="C251" s="1" t="str">
        <f>IF($B$248="Y",'[7]Population Definitions'!$A$5,"...")</f>
        <v>hm_hm</v>
      </c>
      <c r="D251" t="s">
        <v>32</v>
      </c>
      <c r="E251" s="3" t="s">
        <v>118</v>
      </c>
      <c r="F251" s="3"/>
      <c r="G251" s="3">
        <v>1</v>
      </c>
      <c r="H251" s="4" t="str">
        <f>IF($B$248="Y","OR","...")</f>
        <v>OR</v>
      </c>
      <c r="I251" s="3"/>
      <c r="J251" s="3"/>
      <c r="K251" s="3"/>
      <c r="L251" s="3"/>
      <c r="M251" s="3"/>
      <c r="N251" s="3"/>
    </row>
    <row r="253" spans="1:14" x14ac:dyDescent="0.35">
      <c r="A253" s="1" t="s">
        <v>0</v>
      </c>
      <c r="B253" s="1" t="s">
        <v>1</v>
      </c>
      <c r="C253" s="1" t="s">
        <v>144</v>
      </c>
      <c r="D253" s="1" t="s">
        <v>145</v>
      </c>
    </row>
    <row r="254" spans="1:14" x14ac:dyDescent="0.35">
      <c r="A254" t="s">
        <v>337</v>
      </c>
      <c r="B254" t="s">
        <v>337</v>
      </c>
      <c r="C254" t="s">
        <v>333</v>
      </c>
      <c r="D254" t="s">
        <v>9</v>
      </c>
    </row>
    <row r="256" spans="1:14" x14ac:dyDescent="0.35">
      <c r="B256" s="1" t="str">
        <f>'[7]Population Definitions'!$A$5</f>
        <v>hm_hm</v>
      </c>
    </row>
    <row r="257" spans="1:14" x14ac:dyDescent="0.35">
      <c r="A257" s="1" t="str">
        <f>'[7]Population Definitions'!$A$8</f>
        <v>mnut_hm</v>
      </c>
      <c r="B257" s="5" t="s">
        <v>146</v>
      </c>
    </row>
    <row r="259" spans="1:14" x14ac:dyDescent="0.35">
      <c r="A259" s="1" t="s">
        <v>147</v>
      </c>
      <c r="B259" s="1"/>
      <c r="C259" s="1" t="s">
        <v>148</v>
      </c>
      <c r="D259" s="1" t="s">
        <v>28</v>
      </c>
      <c r="E259" s="1" t="s">
        <v>29</v>
      </c>
      <c r="F259" s="1" t="s">
        <v>30</v>
      </c>
      <c r="G259" s="1" t="s">
        <v>31</v>
      </c>
      <c r="H259" s="1"/>
      <c r="I259" s="1">
        <v>2020</v>
      </c>
      <c r="J259" s="1">
        <v>2021</v>
      </c>
      <c r="K259" s="1">
        <v>2022</v>
      </c>
      <c r="L259" s="1">
        <v>2023</v>
      </c>
      <c r="M259" s="1">
        <v>2024</v>
      </c>
      <c r="N259" s="1">
        <v>2025</v>
      </c>
    </row>
    <row r="260" spans="1:14" x14ac:dyDescent="0.35">
      <c r="A260" s="1" t="str">
        <f>IF($B$257="Y",'[7]Population Definitions'!$A$8,"...")</f>
        <v>mnut_hm</v>
      </c>
      <c r="B260" s="4" t="str">
        <f>IF($B$257="Y","---&gt;","...")</f>
        <v>---&gt;</v>
      </c>
      <c r="C260" s="1" t="str">
        <f>IF($B$257="Y",'[7]Population Definitions'!$A$5,"...")</f>
        <v>hm_hm</v>
      </c>
      <c r="D260" t="s">
        <v>32</v>
      </c>
      <c r="E260" s="3" t="s">
        <v>118</v>
      </c>
      <c r="F260" s="3"/>
      <c r="G260" s="3">
        <v>1</v>
      </c>
      <c r="H260" s="4" t="str">
        <f>IF($B$257="Y","OR","...")</f>
        <v>OR</v>
      </c>
      <c r="I260" s="3"/>
      <c r="J260" s="3"/>
      <c r="K260" s="3"/>
      <c r="L260" s="3"/>
      <c r="M260" s="3"/>
      <c r="N260" s="3"/>
    </row>
    <row r="262" spans="1:14" x14ac:dyDescent="0.35">
      <c r="A262" s="1" t="s">
        <v>0</v>
      </c>
      <c r="B262" s="1" t="s">
        <v>1</v>
      </c>
      <c r="C262" s="1" t="s">
        <v>144</v>
      </c>
      <c r="D262" s="1" t="s">
        <v>145</v>
      </c>
    </row>
    <row r="263" spans="1:14" x14ac:dyDescent="0.35">
      <c r="A263" t="s">
        <v>158</v>
      </c>
      <c r="B263" t="s">
        <v>158</v>
      </c>
      <c r="C263" t="s">
        <v>3</v>
      </c>
      <c r="D263" t="s">
        <v>11</v>
      </c>
    </row>
    <row r="265" spans="1:14" x14ac:dyDescent="0.35">
      <c r="B265" s="1" t="str">
        <f>'[7]Population Definitions'!$A$6</f>
        <v>msep_hm</v>
      </c>
    </row>
    <row r="266" spans="1:14" x14ac:dyDescent="0.35">
      <c r="A266" s="1" t="str">
        <f>'[7]Population Definitions'!$A$2</f>
        <v>anc_hm</v>
      </c>
      <c r="B266" s="5" t="s">
        <v>146</v>
      </c>
    </row>
    <row r="268" spans="1:14" x14ac:dyDescent="0.35">
      <c r="A268" s="1" t="s">
        <v>147</v>
      </c>
      <c r="B268" s="1"/>
      <c r="C268" s="1" t="s">
        <v>148</v>
      </c>
      <c r="D268" s="1" t="s">
        <v>28</v>
      </c>
      <c r="E268" s="1" t="s">
        <v>29</v>
      </c>
      <c r="F268" s="1" t="s">
        <v>30</v>
      </c>
      <c r="G268" s="1" t="s">
        <v>31</v>
      </c>
      <c r="H268" s="1"/>
      <c r="I268" s="1">
        <v>2020</v>
      </c>
      <c r="J268" s="1">
        <v>2021</v>
      </c>
      <c r="K268" s="1">
        <v>2022</v>
      </c>
      <c r="L268" s="1">
        <v>2023</v>
      </c>
      <c r="M268" s="1">
        <v>2024</v>
      </c>
      <c r="N268" s="1">
        <v>2025</v>
      </c>
    </row>
    <row r="269" spans="1:14" x14ac:dyDescent="0.35">
      <c r="A269" s="1" t="str">
        <f>IF($B$266="Y",'[7]Population Definitions'!$A$2,"...")</f>
        <v>anc_hm</v>
      </c>
      <c r="B269" s="4" t="str">
        <f>IF($B$266="Y","---&gt;","...")</f>
        <v>---&gt;</v>
      </c>
      <c r="C269" s="1" t="str">
        <f>IF($B$266="Y",'[7]Population Definitions'!$A$6,"...")</f>
        <v>msep_hm</v>
      </c>
      <c r="D269" t="s">
        <v>32</v>
      </c>
      <c r="E269" s="3" t="s">
        <v>118</v>
      </c>
      <c r="F269" s="3"/>
      <c r="G269" s="3">
        <v>1</v>
      </c>
      <c r="H269" s="4" t="str">
        <f>IF($B$266="Y","OR","...")</f>
        <v>OR</v>
      </c>
      <c r="I269" s="3"/>
      <c r="J269" s="3"/>
      <c r="K269" s="3"/>
      <c r="L269" s="3"/>
      <c r="M269" s="3"/>
      <c r="N269" s="3"/>
    </row>
    <row r="271" spans="1:14" x14ac:dyDescent="0.35">
      <c r="A271" s="1" t="s">
        <v>0</v>
      </c>
      <c r="B271" s="1" t="s">
        <v>1</v>
      </c>
      <c r="C271" s="1" t="s">
        <v>144</v>
      </c>
      <c r="D271" s="1" t="s">
        <v>145</v>
      </c>
    </row>
    <row r="272" spans="1:14" x14ac:dyDescent="0.35">
      <c r="A272" t="s">
        <v>159</v>
      </c>
      <c r="B272" t="s">
        <v>159</v>
      </c>
      <c r="C272" t="s">
        <v>13</v>
      </c>
      <c r="D272" t="s">
        <v>11</v>
      </c>
    </row>
    <row r="274" spans="1:14" x14ac:dyDescent="0.35">
      <c r="B274" s="1" t="str">
        <f>'[7]Population Definitions'!$A$6</f>
        <v>msep_hm</v>
      </c>
    </row>
    <row r="275" spans="1:14" x14ac:dyDescent="0.35">
      <c r="A275" s="1" t="str">
        <f>'[7]Population Definitions'!$A$9</f>
        <v>ol_hm</v>
      </c>
      <c r="B275" s="5" t="s">
        <v>146</v>
      </c>
    </row>
    <row r="277" spans="1:14" x14ac:dyDescent="0.35">
      <c r="A277" s="1" t="s">
        <v>147</v>
      </c>
      <c r="B277" s="1"/>
      <c r="C277" s="1" t="s">
        <v>148</v>
      </c>
      <c r="D277" s="1" t="s">
        <v>28</v>
      </c>
      <c r="E277" s="1" t="s">
        <v>29</v>
      </c>
      <c r="F277" s="1" t="s">
        <v>30</v>
      </c>
      <c r="G277" s="1" t="s">
        <v>31</v>
      </c>
      <c r="H277" s="1"/>
      <c r="I277" s="1">
        <v>2020</v>
      </c>
      <c r="J277" s="1">
        <v>2021</v>
      </c>
      <c r="K277" s="1">
        <v>2022</v>
      </c>
      <c r="L277" s="1">
        <v>2023</v>
      </c>
      <c r="M277" s="1">
        <v>2024</v>
      </c>
      <c r="N277" s="1">
        <v>2025</v>
      </c>
    </row>
    <row r="278" spans="1:14" x14ac:dyDescent="0.35">
      <c r="A278" s="1" t="str">
        <f>IF($B$275="Y",'[7]Population Definitions'!$A$9,"...")</f>
        <v>ol_hm</v>
      </c>
      <c r="B278" s="4" t="str">
        <f>IF($B$275="Y","---&gt;","...")</f>
        <v>---&gt;</v>
      </c>
      <c r="C278" s="1" t="str">
        <f>IF($B$275="Y",'[7]Population Definitions'!$A$6,"...")</f>
        <v>msep_hm</v>
      </c>
      <c r="D278" t="s">
        <v>32</v>
      </c>
      <c r="E278" s="3" t="s">
        <v>118</v>
      </c>
      <c r="F278" s="3"/>
      <c r="G278" s="3">
        <v>1</v>
      </c>
      <c r="H278" s="4" t="str">
        <f>IF($B$275="Y","OR","...")</f>
        <v>OR</v>
      </c>
      <c r="I278" s="3"/>
      <c r="J278" s="3"/>
      <c r="K278" s="3"/>
      <c r="L278" s="3"/>
      <c r="M278" s="3"/>
      <c r="N278" s="3"/>
    </row>
    <row r="280" spans="1:14" x14ac:dyDescent="0.35">
      <c r="A280" s="1" t="s">
        <v>0</v>
      </c>
      <c r="B280" s="1" t="s">
        <v>1</v>
      </c>
      <c r="C280" s="1" t="s">
        <v>144</v>
      </c>
      <c r="D280" s="1" t="s">
        <v>145</v>
      </c>
    </row>
    <row r="281" spans="1:14" x14ac:dyDescent="0.35">
      <c r="A281" t="s">
        <v>160</v>
      </c>
      <c r="B281" t="s">
        <v>160</v>
      </c>
      <c r="C281" t="s">
        <v>9</v>
      </c>
      <c r="D281" t="s">
        <v>11</v>
      </c>
    </row>
    <row r="283" spans="1:14" x14ac:dyDescent="0.35">
      <c r="B283" s="1" t="str">
        <f>'[7]Population Definitions'!$A$6</f>
        <v>msep_hm</v>
      </c>
    </row>
    <row r="284" spans="1:14" x14ac:dyDescent="0.35">
      <c r="A284" s="1" t="str">
        <f>'[7]Population Definitions'!$A$5</f>
        <v>hm_hm</v>
      </c>
      <c r="B284" s="5" t="s">
        <v>146</v>
      </c>
    </row>
    <row r="286" spans="1:14" x14ac:dyDescent="0.35">
      <c r="A286" s="1" t="s">
        <v>147</v>
      </c>
      <c r="B286" s="1"/>
      <c r="C286" s="1" t="s">
        <v>148</v>
      </c>
      <c r="D286" s="1" t="s">
        <v>28</v>
      </c>
      <c r="E286" s="1" t="s">
        <v>29</v>
      </c>
      <c r="F286" s="1" t="s">
        <v>30</v>
      </c>
      <c r="G286" s="1" t="s">
        <v>31</v>
      </c>
      <c r="H286" s="1"/>
      <c r="I286" s="1">
        <v>2020</v>
      </c>
      <c r="J286" s="1">
        <v>2021</v>
      </c>
      <c r="K286" s="1">
        <v>2022</v>
      </c>
      <c r="L286" s="1">
        <v>2023</v>
      </c>
      <c r="M286" s="1">
        <v>2024</v>
      </c>
      <c r="N286" s="1">
        <v>2025</v>
      </c>
    </row>
    <row r="287" spans="1:14" x14ac:dyDescent="0.35">
      <c r="A287" s="1" t="str">
        <f>IF($B$284="Y",'[7]Population Definitions'!$A$5,"...")</f>
        <v>hm_hm</v>
      </c>
      <c r="B287" s="4" t="str">
        <f>IF($B$284="Y","---&gt;","...")</f>
        <v>---&gt;</v>
      </c>
      <c r="C287" s="1" t="str">
        <f>IF($B$284="Y",'[7]Population Definitions'!$A$6,"...")</f>
        <v>msep_hm</v>
      </c>
      <c r="D287" t="s">
        <v>32</v>
      </c>
      <c r="E287" s="3" t="s">
        <v>118</v>
      </c>
      <c r="F287" s="3"/>
      <c r="G287" s="3">
        <v>1</v>
      </c>
      <c r="H287" s="4" t="str">
        <f>IF($B$284="Y","OR","...")</f>
        <v>OR</v>
      </c>
      <c r="I287" s="3"/>
      <c r="J287" s="3"/>
      <c r="K287" s="3"/>
      <c r="L287" s="3"/>
      <c r="M287" s="3"/>
      <c r="N287" s="3"/>
    </row>
    <row r="289" spans="1:14" x14ac:dyDescent="0.35">
      <c r="A289" s="1" t="s">
        <v>0</v>
      </c>
      <c r="B289" s="1" t="s">
        <v>1</v>
      </c>
      <c r="C289" s="1" t="s">
        <v>144</v>
      </c>
      <c r="D289" s="1" t="s">
        <v>145</v>
      </c>
    </row>
    <row r="290" spans="1:14" x14ac:dyDescent="0.35">
      <c r="A290" t="s">
        <v>161</v>
      </c>
      <c r="B290" t="s">
        <v>161</v>
      </c>
      <c r="C290" t="s">
        <v>11</v>
      </c>
      <c r="D290" t="s">
        <v>11</v>
      </c>
    </row>
    <row r="292" spans="1:14" x14ac:dyDescent="0.35">
      <c r="B292" s="1" t="str">
        <f>'[7]Population Definitions'!$A$6</f>
        <v>msep_hm</v>
      </c>
    </row>
    <row r="293" spans="1:14" x14ac:dyDescent="0.35">
      <c r="A293" s="1" t="str">
        <f>'[7]Population Definitions'!$A$6</f>
        <v>msep_hm</v>
      </c>
      <c r="B293" s="5" t="s">
        <v>146</v>
      </c>
    </row>
    <row r="295" spans="1:14" x14ac:dyDescent="0.35">
      <c r="A295" s="1" t="s">
        <v>147</v>
      </c>
      <c r="B295" s="1"/>
      <c r="C295" s="1" t="s">
        <v>148</v>
      </c>
      <c r="D295" s="1" t="s">
        <v>28</v>
      </c>
      <c r="E295" s="1" t="s">
        <v>29</v>
      </c>
      <c r="F295" s="1" t="s">
        <v>30</v>
      </c>
      <c r="G295" s="1" t="s">
        <v>31</v>
      </c>
      <c r="H295" s="1"/>
      <c r="I295" s="1">
        <v>2020</v>
      </c>
      <c r="J295" s="1">
        <v>2021</v>
      </c>
      <c r="K295" s="1">
        <v>2022</v>
      </c>
      <c r="L295" s="1">
        <v>2023</v>
      </c>
      <c r="M295" s="1">
        <v>2024</v>
      </c>
      <c r="N295" s="1">
        <v>2025</v>
      </c>
    </row>
    <row r="296" spans="1:14" x14ac:dyDescent="0.35">
      <c r="A296" s="1" t="str">
        <f>IF($B$293="Y",'[7]Population Definitions'!$A$6,"...")</f>
        <v>msep_hm</v>
      </c>
      <c r="B296" s="4" t="str">
        <f>IF($B$293="Y","---&gt;","...")</f>
        <v>---&gt;</v>
      </c>
      <c r="C296" s="1" t="str">
        <f>IF($B$293="Y",'[7]Population Definitions'!$A$6,"...")</f>
        <v>msep_hm</v>
      </c>
      <c r="D296" t="s">
        <v>32</v>
      </c>
      <c r="E296" s="3" t="s">
        <v>118</v>
      </c>
      <c r="F296" s="3"/>
      <c r="G296" s="3">
        <v>1</v>
      </c>
      <c r="H296" s="4" t="str">
        <f>IF($B$293="Y","OR","...")</f>
        <v>OR</v>
      </c>
      <c r="I296" s="3"/>
      <c r="J296" s="3"/>
      <c r="K296" s="3"/>
      <c r="L296" s="3"/>
      <c r="M296" s="3"/>
      <c r="N296" s="3"/>
    </row>
    <row r="298" spans="1:14" x14ac:dyDescent="0.35">
      <c r="A298" s="1" t="s">
        <v>0</v>
      </c>
      <c r="B298" s="1" t="s">
        <v>1</v>
      </c>
      <c r="C298" s="1" t="s">
        <v>144</v>
      </c>
      <c r="D298" s="1" t="s">
        <v>145</v>
      </c>
    </row>
    <row r="299" spans="1:14" x14ac:dyDescent="0.35">
      <c r="A299" t="s">
        <v>190</v>
      </c>
      <c r="B299" t="s">
        <v>190</v>
      </c>
      <c r="C299" t="s">
        <v>7</v>
      </c>
      <c r="D299" t="s">
        <v>11</v>
      </c>
    </row>
    <row r="301" spans="1:14" x14ac:dyDescent="0.35">
      <c r="B301" s="1" t="str">
        <f>'[7]Population Definitions'!$A$6</f>
        <v>msep_hm</v>
      </c>
    </row>
    <row r="302" spans="1:14" x14ac:dyDescent="0.35">
      <c r="A302" s="1" t="str">
        <f>'[7]Population Definitions'!$A$4</f>
        <v>an_hm</v>
      </c>
      <c r="B302" s="5" t="s">
        <v>146</v>
      </c>
    </row>
    <row r="304" spans="1:14" x14ac:dyDescent="0.35">
      <c r="A304" s="1" t="s">
        <v>147</v>
      </c>
      <c r="B304" s="1"/>
      <c r="C304" s="1" t="s">
        <v>148</v>
      </c>
      <c r="D304" s="1" t="s">
        <v>28</v>
      </c>
      <c r="E304" s="1" t="s">
        <v>29</v>
      </c>
      <c r="F304" s="1" t="s">
        <v>30</v>
      </c>
      <c r="G304" s="1" t="s">
        <v>31</v>
      </c>
      <c r="H304" s="1"/>
      <c r="I304" s="1">
        <v>2020</v>
      </c>
      <c r="J304" s="1">
        <v>2021</v>
      </c>
      <c r="K304" s="1">
        <v>2022</v>
      </c>
      <c r="L304" s="1">
        <v>2023</v>
      </c>
      <c r="M304" s="1">
        <v>2024</v>
      </c>
      <c r="N304" s="1">
        <v>2025</v>
      </c>
    </row>
    <row r="305" spans="1:14" x14ac:dyDescent="0.35">
      <c r="A305" s="1" t="str">
        <f>IF($B$302="Y",'[7]Population Definitions'!$A$4,"...")</f>
        <v>an_hm</v>
      </c>
      <c r="B305" s="4" t="str">
        <f>IF($B$302="Y","---&gt;","...")</f>
        <v>---&gt;</v>
      </c>
      <c r="C305" s="1" t="str">
        <f>IF($B$302="Y",'[7]Population Definitions'!$A$6,"...")</f>
        <v>msep_hm</v>
      </c>
      <c r="D305" t="s">
        <v>32</v>
      </c>
      <c r="E305" s="3" t="s">
        <v>118</v>
      </c>
      <c r="F305" s="3"/>
      <c r="G305" s="3">
        <v>1</v>
      </c>
      <c r="H305" s="4" t="str">
        <f>IF($B$302="Y","OR","...")</f>
        <v>OR</v>
      </c>
      <c r="I305" s="3"/>
      <c r="J305" s="3"/>
      <c r="K305" s="3"/>
      <c r="L305" s="3"/>
      <c r="M305" s="3"/>
      <c r="N305" s="3"/>
    </row>
    <row r="307" spans="1:14" x14ac:dyDescent="0.35">
      <c r="A307" s="1" t="s">
        <v>0</v>
      </c>
      <c r="B307" s="1" t="s">
        <v>1</v>
      </c>
      <c r="C307" s="1" t="s">
        <v>144</v>
      </c>
      <c r="D307" s="1" t="s">
        <v>145</v>
      </c>
    </row>
    <row r="308" spans="1:14" x14ac:dyDescent="0.35">
      <c r="A308" t="s">
        <v>338</v>
      </c>
      <c r="B308" t="s">
        <v>338</v>
      </c>
      <c r="C308" t="s">
        <v>333</v>
      </c>
      <c r="D308" t="s">
        <v>11</v>
      </c>
    </row>
    <row r="310" spans="1:14" x14ac:dyDescent="0.35">
      <c r="B310" s="1" t="str">
        <f>'[7]Population Definitions'!$A$6</f>
        <v>msep_hm</v>
      </c>
    </row>
    <row r="311" spans="1:14" x14ac:dyDescent="0.35">
      <c r="A311" s="1" t="str">
        <f>'[7]Population Definitions'!$A$8</f>
        <v>mnut_hm</v>
      </c>
      <c r="B311" s="5" t="s">
        <v>146</v>
      </c>
    </row>
    <row r="313" spans="1:14" x14ac:dyDescent="0.35">
      <c r="A313" s="1" t="s">
        <v>147</v>
      </c>
      <c r="B313" s="1"/>
      <c r="C313" s="1" t="s">
        <v>148</v>
      </c>
      <c r="D313" s="1" t="s">
        <v>28</v>
      </c>
      <c r="E313" s="1" t="s">
        <v>29</v>
      </c>
      <c r="F313" s="1" t="s">
        <v>30</v>
      </c>
      <c r="G313" s="1" t="s">
        <v>31</v>
      </c>
      <c r="H313" s="1"/>
      <c r="I313" s="1">
        <v>2020</v>
      </c>
      <c r="J313" s="1">
        <v>2021</v>
      </c>
      <c r="K313" s="1">
        <v>2022</v>
      </c>
      <c r="L313" s="1">
        <v>2023</v>
      </c>
      <c r="M313" s="1">
        <v>2024</v>
      </c>
      <c r="N313" s="1">
        <v>2025</v>
      </c>
    </row>
    <row r="314" spans="1:14" x14ac:dyDescent="0.35">
      <c r="A314" s="1" t="str">
        <f>IF($B$311="Y",'[7]Population Definitions'!$A$8,"...")</f>
        <v>mnut_hm</v>
      </c>
      <c r="B314" s="4" t="str">
        <f>IF($B$311="Y","---&gt;","...")</f>
        <v>---&gt;</v>
      </c>
      <c r="C314" s="1" t="str">
        <f>IF($B$311="Y",'[7]Population Definitions'!$A$6,"...")</f>
        <v>msep_hm</v>
      </c>
      <c r="D314" t="s">
        <v>32</v>
      </c>
      <c r="E314" s="3" t="s">
        <v>118</v>
      </c>
      <c r="F314" s="3"/>
      <c r="G314" s="3">
        <v>1</v>
      </c>
      <c r="H314" s="4" t="str">
        <f>IF($B$311="Y","OR","...")</f>
        <v>OR</v>
      </c>
      <c r="I314" s="3"/>
      <c r="J314" s="3"/>
      <c r="K314" s="3"/>
      <c r="L314" s="3"/>
      <c r="M314" s="3"/>
      <c r="N314" s="3"/>
    </row>
    <row r="316" spans="1:14" x14ac:dyDescent="0.35">
      <c r="A316" s="1" t="s">
        <v>0</v>
      </c>
      <c r="B316" s="1" t="s">
        <v>1</v>
      </c>
      <c r="C316" s="1" t="s">
        <v>144</v>
      </c>
      <c r="D316" s="1" t="s">
        <v>145</v>
      </c>
    </row>
    <row r="317" spans="1:14" x14ac:dyDescent="0.35">
      <c r="A317" t="s">
        <v>339</v>
      </c>
      <c r="B317" t="s">
        <v>339</v>
      </c>
      <c r="C317" t="s">
        <v>3</v>
      </c>
      <c r="D317" t="s">
        <v>335</v>
      </c>
    </row>
    <row r="319" spans="1:14" x14ac:dyDescent="0.35">
      <c r="B319" s="1" t="str">
        <f>'[7]Population Definitions'!$A$7</f>
        <v>preecl_hm</v>
      </c>
    </row>
    <row r="320" spans="1:14" x14ac:dyDescent="0.35">
      <c r="A320" s="1" t="str">
        <f>'[7]Population Definitions'!$A$2</f>
        <v>anc_hm</v>
      </c>
      <c r="B320" s="5" t="s">
        <v>146</v>
      </c>
    </row>
    <row r="322" spans="1:14" x14ac:dyDescent="0.35">
      <c r="A322" s="1" t="s">
        <v>147</v>
      </c>
      <c r="B322" s="1"/>
      <c r="C322" s="1" t="s">
        <v>148</v>
      </c>
      <c r="D322" s="1" t="s">
        <v>28</v>
      </c>
      <c r="E322" s="1" t="s">
        <v>29</v>
      </c>
      <c r="F322" s="1" t="s">
        <v>30</v>
      </c>
      <c r="G322" s="1" t="s">
        <v>31</v>
      </c>
      <c r="H322" s="1"/>
      <c r="I322" s="1">
        <v>2020</v>
      </c>
      <c r="J322" s="1">
        <v>2021</v>
      </c>
      <c r="K322" s="1">
        <v>2022</v>
      </c>
      <c r="L322" s="1">
        <v>2023</v>
      </c>
      <c r="M322" s="1">
        <v>2024</v>
      </c>
      <c r="N322" s="1">
        <v>2025</v>
      </c>
    </row>
    <row r="323" spans="1:14" x14ac:dyDescent="0.35">
      <c r="A323" s="1" t="str">
        <f>IF($B$320="Y",'[7]Population Definitions'!$A$2,"...")</f>
        <v>anc_hm</v>
      </c>
      <c r="B323" s="4" t="str">
        <f>IF($B$320="Y","---&gt;","...")</f>
        <v>---&gt;</v>
      </c>
      <c r="C323" s="1" t="str">
        <f>IF($B$320="Y",'[7]Population Definitions'!$A$7,"...")</f>
        <v>preecl_hm</v>
      </c>
      <c r="D323" t="s">
        <v>32</v>
      </c>
      <c r="E323" s="3" t="s">
        <v>118</v>
      </c>
      <c r="F323" s="3"/>
      <c r="G323" s="3">
        <v>1</v>
      </c>
      <c r="H323" s="4" t="str">
        <f>IF($B$320="Y","OR","...")</f>
        <v>OR</v>
      </c>
      <c r="I323" s="3"/>
      <c r="J323" s="3"/>
      <c r="K323" s="3"/>
      <c r="L323" s="3"/>
      <c r="M323" s="3"/>
      <c r="N323" s="3"/>
    </row>
    <row r="325" spans="1:14" x14ac:dyDescent="0.35">
      <c r="A325" s="1" t="s">
        <v>0</v>
      </c>
      <c r="B325" s="1" t="s">
        <v>1</v>
      </c>
      <c r="C325" s="1" t="s">
        <v>144</v>
      </c>
      <c r="D325" s="1" t="s">
        <v>145</v>
      </c>
    </row>
    <row r="326" spans="1:14" x14ac:dyDescent="0.35">
      <c r="A326" t="s">
        <v>340</v>
      </c>
      <c r="B326" t="s">
        <v>340</v>
      </c>
      <c r="C326" t="s">
        <v>3</v>
      </c>
      <c r="D326" t="s">
        <v>333</v>
      </c>
    </row>
    <row r="328" spans="1:14" x14ac:dyDescent="0.35">
      <c r="B328" s="1" t="str">
        <f>'[7]Population Definitions'!$A$8</f>
        <v>mnut_hm</v>
      </c>
    </row>
    <row r="329" spans="1:14" x14ac:dyDescent="0.35">
      <c r="A329" s="1" t="str">
        <f>'[7]Population Definitions'!$A$2</f>
        <v>anc_hm</v>
      </c>
      <c r="B329" s="5" t="s">
        <v>146</v>
      </c>
    </row>
    <row r="331" spans="1:14" x14ac:dyDescent="0.35">
      <c r="A331" s="1" t="s">
        <v>147</v>
      </c>
      <c r="B331" s="1"/>
      <c r="C331" s="1" t="s">
        <v>148</v>
      </c>
      <c r="D331" s="1" t="s">
        <v>28</v>
      </c>
      <c r="E331" s="1" t="s">
        <v>29</v>
      </c>
      <c r="F331" s="1" t="s">
        <v>30</v>
      </c>
      <c r="G331" s="1" t="s">
        <v>31</v>
      </c>
      <c r="H331" s="1"/>
      <c r="I331" s="1">
        <v>2020</v>
      </c>
      <c r="J331" s="1">
        <v>2021</v>
      </c>
      <c r="K331" s="1">
        <v>2022</v>
      </c>
      <c r="L331" s="1">
        <v>2023</v>
      </c>
      <c r="M331" s="1">
        <v>2024</v>
      </c>
      <c r="N331" s="1">
        <v>2025</v>
      </c>
    </row>
    <row r="332" spans="1:14" x14ac:dyDescent="0.35">
      <c r="A332" s="1" t="str">
        <f>IF($B$329="Y",'[7]Population Definitions'!$A$2,"...")</f>
        <v>anc_hm</v>
      </c>
      <c r="B332" s="4" t="str">
        <f>IF($B$329="Y","---&gt;","...")</f>
        <v>---&gt;</v>
      </c>
      <c r="C332" s="1" t="str">
        <f>IF($B$329="Y",'[7]Population Definitions'!$A$8,"...")</f>
        <v>mnut_hm</v>
      </c>
      <c r="D332" t="s">
        <v>32</v>
      </c>
      <c r="E332" s="3" t="s">
        <v>118</v>
      </c>
      <c r="F332" s="3"/>
      <c r="G332" s="3">
        <v>1</v>
      </c>
      <c r="H332" s="4" t="str">
        <f>IF($B$329="Y","OR","...")</f>
        <v>OR</v>
      </c>
      <c r="I332" s="3"/>
      <c r="J332" s="3"/>
      <c r="K332" s="3"/>
      <c r="L332" s="3"/>
      <c r="M332" s="3"/>
      <c r="N332" s="3"/>
    </row>
    <row r="334" spans="1:14" x14ac:dyDescent="0.35">
      <c r="A334" s="1" t="s">
        <v>0</v>
      </c>
      <c r="B334" s="1" t="s">
        <v>1</v>
      </c>
      <c r="C334" s="1" t="s">
        <v>144</v>
      </c>
      <c r="D334" s="1" t="s">
        <v>145</v>
      </c>
    </row>
    <row r="335" spans="1:14" x14ac:dyDescent="0.35">
      <c r="A335" t="s">
        <v>341</v>
      </c>
      <c r="B335" t="s">
        <v>341</v>
      </c>
      <c r="C335" t="s">
        <v>13</v>
      </c>
      <c r="D335" t="s">
        <v>333</v>
      </c>
    </row>
    <row r="337" spans="1:14" x14ac:dyDescent="0.35">
      <c r="B337" s="1" t="str">
        <f>'[7]Population Definitions'!$A$8</f>
        <v>mnut_hm</v>
      </c>
    </row>
    <row r="338" spans="1:14" x14ac:dyDescent="0.35">
      <c r="A338" s="1" t="str">
        <f>'[7]Population Definitions'!$A$9</f>
        <v>ol_hm</v>
      </c>
      <c r="B338" s="5" t="s">
        <v>146</v>
      </c>
    </row>
    <row r="340" spans="1:14" x14ac:dyDescent="0.35">
      <c r="A340" s="1" t="s">
        <v>147</v>
      </c>
      <c r="B340" s="1"/>
      <c r="C340" s="1" t="s">
        <v>148</v>
      </c>
      <c r="D340" s="1" t="s">
        <v>28</v>
      </c>
      <c r="E340" s="1" t="s">
        <v>29</v>
      </c>
      <c r="F340" s="1" t="s">
        <v>30</v>
      </c>
      <c r="G340" s="1" t="s">
        <v>31</v>
      </c>
      <c r="H340" s="1"/>
      <c r="I340" s="1">
        <v>2020</v>
      </c>
      <c r="J340" s="1">
        <v>2021</v>
      </c>
      <c r="K340" s="1">
        <v>2022</v>
      </c>
      <c r="L340" s="1">
        <v>2023</v>
      </c>
      <c r="M340" s="1">
        <v>2024</v>
      </c>
      <c r="N340" s="1">
        <v>2025</v>
      </c>
    </row>
    <row r="341" spans="1:14" x14ac:dyDescent="0.35">
      <c r="A341" s="1" t="str">
        <f>IF($B$338="Y",'[7]Population Definitions'!$A$9,"...")</f>
        <v>ol_hm</v>
      </c>
      <c r="B341" s="4" t="str">
        <f>IF($B$338="Y","---&gt;","...")</f>
        <v>---&gt;</v>
      </c>
      <c r="C341" s="1" t="str">
        <f>IF($B$338="Y",'[7]Population Definitions'!$A$8,"...")</f>
        <v>mnut_hm</v>
      </c>
      <c r="D341" t="s">
        <v>32</v>
      </c>
      <c r="E341" s="3" t="s">
        <v>118</v>
      </c>
      <c r="F341" s="3"/>
      <c r="G341" s="3">
        <v>1</v>
      </c>
      <c r="H341" s="4" t="str">
        <f>IF($B$338="Y","OR","...")</f>
        <v>OR</v>
      </c>
      <c r="I341" s="3"/>
      <c r="J341" s="3"/>
      <c r="K341" s="3"/>
      <c r="L341" s="3"/>
      <c r="M341" s="3"/>
      <c r="N341" s="3"/>
    </row>
    <row r="343" spans="1:14" x14ac:dyDescent="0.35">
      <c r="A343" s="1" t="s">
        <v>0</v>
      </c>
      <c r="B343" s="1" t="s">
        <v>1</v>
      </c>
      <c r="C343" s="1" t="s">
        <v>144</v>
      </c>
      <c r="D343" s="1" t="s">
        <v>145</v>
      </c>
    </row>
    <row r="344" spans="1:14" x14ac:dyDescent="0.35">
      <c r="A344" t="s">
        <v>342</v>
      </c>
      <c r="B344" t="s">
        <v>342</v>
      </c>
      <c r="C344" t="s">
        <v>9</v>
      </c>
      <c r="D344" t="s">
        <v>333</v>
      </c>
    </row>
    <row r="346" spans="1:14" x14ac:dyDescent="0.35">
      <c r="B346" s="1" t="str">
        <f>'[7]Population Definitions'!$A$8</f>
        <v>mnut_hm</v>
      </c>
    </row>
    <row r="347" spans="1:14" x14ac:dyDescent="0.35">
      <c r="A347" s="1" t="str">
        <f>'[7]Population Definitions'!$A$5</f>
        <v>hm_hm</v>
      </c>
      <c r="B347" s="5" t="s">
        <v>146</v>
      </c>
    </row>
    <row r="349" spans="1:14" x14ac:dyDescent="0.35">
      <c r="A349" s="1" t="s">
        <v>147</v>
      </c>
      <c r="B349" s="1"/>
      <c r="C349" s="1" t="s">
        <v>148</v>
      </c>
      <c r="D349" s="1" t="s">
        <v>28</v>
      </c>
      <c r="E349" s="1" t="s">
        <v>29</v>
      </c>
      <c r="F349" s="1" t="s">
        <v>30</v>
      </c>
      <c r="G349" s="1" t="s">
        <v>31</v>
      </c>
      <c r="H349" s="1"/>
      <c r="I349" s="1">
        <v>2020</v>
      </c>
      <c r="J349" s="1">
        <v>2021</v>
      </c>
      <c r="K349" s="1">
        <v>2022</v>
      </c>
      <c r="L349" s="1">
        <v>2023</v>
      </c>
      <c r="M349" s="1">
        <v>2024</v>
      </c>
      <c r="N349" s="1">
        <v>2025</v>
      </c>
    </row>
    <row r="350" spans="1:14" x14ac:dyDescent="0.35">
      <c r="A350" s="1" t="str">
        <f>IF($B$347="Y",'[7]Population Definitions'!$A$5,"...")</f>
        <v>hm_hm</v>
      </c>
      <c r="B350" s="4" t="str">
        <f>IF($B$347="Y","---&gt;","...")</f>
        <v>---&gt;</v>
      </c>
      <c r="C350" s="1" t="str">
        <f>IF($B$347="Y",'[7]Population Definitions'!$A$8,"...")</f>
        <v>mnut_hm</v>
      </c>
      <c r="D350" t="s">
        <v>32</v>
      </c>
      <c r="E350" s="3" t="s">
        <v>118</v>
      </c>
      <c r="F350" s="3"/>
      <c r="G350" s="3">
        <v>1</v>
      </c>
      <c r="H350" s="4" t="str">
        <f>IF($B$347="Y","OR","...")</f>
        <v>OR</v>
      </c>
      <c r="I350" s="3"/>
      <c r="J350" s="3"/>
      <c r="K350" s="3"/>
      <c r="L350" s="3"/>
      <c r="M350" s="3"/>
      <c r="N350" s="3"/>
    </row>
    <row r="352" spans="1:14" x14ac:dyDescent="0.35">
      <c r="A352" s="1" t="s">
        <v>0</v>
      </c>
      <c r="B352" s="1" t="s">
        <v>1</v>
      </c>
      <c r="C352" s="1" t="s">
        <v>144</v>
      </c>
      <c r="D352" s="1" t="s">
        <v>145</v>
      </c>
    </row>
    <row r="353" spans="1:14" x14ac:dyDescent="0.35">
      <c r="A353" t="s">
        <v>343</v>
      </c>
      <c r="B353" t="s">
        <v>343</v>
      </c>
      <c r="C353" t="s">
        <v>11</v>
      </c>
      <c r="D353" t="s">
        <v>333</v>
      </c>
    </row>
    <row r="355" spans="1:14" x14ac:dyDescent="0.35">
      <c r="B355" s="1" t="str">
        <f>'[7]Population Definitions'!$A$8</f>
        <v>mnut_hm</v>
      </c>
    </row>
    <row r="356" spans="1:14" x14ac:dyDescent="0.35">
      <c r="A356" s="1" t="str">
        <f>'[7]Population Definitions'!$A$6</f>
        <v>msep_hm</v>
      </c>
      <c r="B356" s="5" t="s">
        <v>146</v>
      </c>
    </row>
    <row r="358" spans="1:14" x14ac:dyDescent="0.35">
      <c r="A358" s="1" t="s">
        <v>147</v>
      </c>
      <c r="B358" s="1"/>
      <c r="C358" s="1" t="s">
        <v>148</v>
      </c>
      <c r="D358" s="1" t="s">
        <v>28</v>
      </c>
      <c r="E358" s="1" t="s">
        <v>29</v>
      </c>
      <c r="F358" s="1" t="s">
        <v>30</v>
      </c>
      <c r="G358" s="1" t="s">
        <v>31</v>
      </c>
      <c r="H358" s="1"/>
      <c r="I358" s="1">
        <v>2020</v>
      </c>
      <c r="J358" s="1">
        <v>2021</v>
      </c>
      <c r="K358" s="1">
        <v>2022</v>
      </c>
      <c r="L358" s="1">
        <v>2023</v>
      </c>
      <c r="M358" s="1">
        <v>2024</v>
      </c>
      <c r="N358" s="1">
        <v>2025</v>
      </c>
    </row>
    <row r="359" spans="1:14" x14ac:dyDescent="0.35">
      <c r="A359" s="1" t="str">
        <f>IF($B$356="Y",'[7]Population Definitions'!$A$6,"...")</f>
        <v>msep_hm</v>
      </c>
      <c r="B359" s="4" t="str">
        <f>IF($B$356="Y","---&gt;","...")</f>
        <v>---&gt;</v>
      </c>
      <c r="C359" s="1" t="str">
        <f>IF($B$356="Y",'[7]Population Definitions'!$A$8,"...")</f>
        <v>mnut_hm</v>
      </c>
      <c r="D359" t="s">
        <v>32</v>
      </c>
      <c r="E359" s="3" t="s">
        <v>118</v>
      </c>
      <c r="F359" s="3"/>
      <c r="G359" s="3">
        <v>1</v>
      </c>
      <c r="H359" s="4" t="str">
        <f>IF($B$356="Y","OR","...")</f>
        <v>OR</v>
      </c>
      <c r="I359" s="3"/>
      <c r="J359" s="3"/>
      <c r="K359" s="3"/>
      <c r="L359" s="3"/>
      <c r="M359" s="3"/>
      <c r="N359" s="3"/>
    </row>
    <row r="361" spans="1:14" x14ac:dyDescent="0.35">
      <c r="A361" s="1" t="s">
        <v>0</v>
      </c>
      <c r="B361" s="1" t="s">
        <v>1</v>
      </c>
      <c r="C361" s="1" t="s">
        <v>144</v>
      </c>
      <c r="D361" s="1" t="s">
        <v>145</v>
      </c>
    </row>
    <row r="362" spans="1:14" x14ac:dyDescent="0.35">
      <c r="A362" t="s">
        <v>344</v>
      </c>
      <c r="B362" t="s">
        <v>344</v>
      </c>
      <c r="C362" t="s">
        <v>7</v>
      </c>
      <c r="D362" t="s">
        <v>333</v>
      </c>
    </row>
    <row r="364" spans="1:14" x14ac:dyDescent="0.35">
      <c r="B364" s="1" t="str">
        <f>'[7]Population Definitions'!$A$8</f>
        <v>mnut_hm</v>
      </c>
    </row>
    <row r="365" spans="1:14" x14ac:dyDescent="0.35">
      <c r="A365" s="1" t="str">
        <f>'[7]Population Definitions'!$A$4</f>
        <v>an_hm</v>
      </c>
      <c r="B365" s="5" t="s">
        <v>146</v>
      </c>
    </row>
    <row r="367" spans="1:14" x14ac:dyDescent="0.35">
      <c r="A367" s="1" t="s">
        <v>147</v>
      </c>
      <c r="B367" s="1"/>
      <c r="C367" s="1" t="s">
        <v>148</v>
      </c>
      <c r="D367" s="1" t="s">
        <v>28</v>
      </c>
      <c r="E367" s="1" t="s">
        <v>29</v>
      </c>
      <c r="F367" s="1" t="s">
        <v>30</v>
      </c>
      <c r="G367" s="1" t="s">
        <v>31</v>
      </c>
      <c r="H367" s="1"/>
      <c r="I367" s="1">
        <v>2020</v>
      </c>
      <c r="J367" s="1">
        <v>2021</v>
      </c>
      <c r="K367" s="1">
        <v>2022</v>
      </c>
      <c r="L367" s="1">
        <v>2023</v>
      </c>
      <c r="M367" s="1">
        <v>2024</v>
      </c>
      <c r="N367" s="1">
        <v>2025</v>
      </c>
    </row>
    <row r="368" spans="1:14" x14ac:dyDescent="0.35">
      <c r="A368" s="1" t="str">
        <f>IF($B$365="Y",'[7]Population Definitions'!$A$4,"...")</f>
        <v>an_hm</v>
      </c>
      <c r="B368" s="4" t="str">
        <f>IF($B$365="Y","---&gt;","...")</f>
        <v>---&gt;</v>
      </c>
      <c r="C368" s="1" t="str">
        <f>IF($B$365="Y",'[7]Population Definitions'!$A$8,"...")</f>
        <v>mnut_hm</v>
      </c>
      <c r="D368" t="s">
        <v>32</v>
      </c>
      <c r="E368" s="3" t="s">
        <v>118</v>
      </c>
      <c r="F368" s="3"/>
      <c r="G368" s="3">
        <v>1</v>
      </c>
      <c r="H368" s="4" t="str">
        <f>IF($B$365="Y","OR","...")</f>
        <v>OR</v>
      </c>
      <c r="I368" s="3"/>
      <c r="J368" s="3"/>
      <c r="K368" s="3"/>
      <c r="L368" s="3"/>
      <c r="M368" s="3"/>
      <c r="N368" s="3"/>
    </row>
    <row r="370" spans="1:14" x14ac:dyDescent="0.35">
      <c r="A370" s="1" t="s">
        <v>0</v>
      </c>
      <c r="B370" s="1" t="s">
        <v>1</v>
      </c>
      <c r="C370" s="1" t="s">
        <v>144</v>
      </c>
      <c r="D370" s="1" t="s">
        <v>145</v>
      </c>
    </row>
    <row r="371" spans="1:14" x14ac:dyDescent="0.35">
      <c r="A371" t="s">
        <v>345</v>
      </c>
      <c r="B371" t="s">
        <v>345</v>
      </c>
      <c r="C371" t="s">
        <v>333</v>
      </c>
      <c r="D371" t="s">
        <v>333</v>
      </c>
    </row>
    <row r="373" spans="1:14" x14ac:dyDescent="0.35">
      <c r="B373" s="1" t="str">
        <f>'[7]Population Definitions'!$A$8</f>
        <v>mnut_hm</v>
      </c>
    </row>
    <row r="374" spans="1:14" x14ac:dyDescent="0.35">
      <c r="A374" s="1" t="str">
        <f>'[7]Population Definitions'!$A$8</f>
        <v>mnut_hm</v>
      </c>
      <c r="B374" s="5" t="s">
        <v>146</v>
      </c>
    </row>
    <row r="376" spans="1:14" x14ac:dyDescent="0.35">
      <c r="A376" s="1" t="s">
        <v>147</v>
      </c>
      <c r="B376" s="1"/>
      <c r="C376" s="1" t="s">
        <v>148</v>
      </c>
      <c r="D376" s="1" t="s">
        <v>28</v>
      </c>
      <c r="E376" s="1" t="s">
        <v>29</v>
      </c>
      <c r="F376" s="1" t="s">
        <v>30</v>
      </c>
      <c r="G376" s="1" t="s">
        <v>31</v>
      </c>
      <c r="H376" s="1"/>
      <c r="I376" s="1">
        <v>2020</v>
      </c>
      <c r="J376" s="1">
        <v>2021</v>
      </c>
      <c r="K376" s="1">
        <v>2022</v>
      </c>
      <c r="L376" s="1">
        <v>2023</v>
      </c>
      <c r="M376" s="1">
        <v>2024</v>
      </c>
      <c r="N376" s="1">
        <v>2025</v>
      </c>
    </row>
    <row r="377" spans="1:14" x14ac:dyDescent="0.35">
      <c r="A377" s="1" t="str">
        <f>IF($B$374="Y",'[7]Population Definitions'!$A$8,"...")</f>
        <v>mnut_hm</v>
      </c>
      <c r="B377" s="4" t="str">
        <f>IF($B$374="Y","---&gt;","...")</f>
        <v>---&gt;</v>
      </c>
      <c r="C377" s="1" t="str">
        <f>IF($B$374="Y",'[7]Population Definitions'!$A$8,"...")</f>
        <v>mnut_hm</v>
      </c>
      <c r="D377" t="s">
        <v>32</v>
      </c>
      <c r="E377" s="3" t="s">
        <v>118</v>
      </c>
      <c r="F377" s="3"/>
      <c r="G377" s="3">
        <v>1</v>
      </c>
      <c r="H377" s="4" t="str">
        <f>IF($B$374="Y","OR","...")</f>
        <v>OR</v>
      </c>
      <c r="I377" s="3"/>
      <c r="J377" s="3"/>
      <c r="K377" s="3"/>
      <c r="L377" s="3"/>
      <c r="M377" s="3"/>
      <c r="N377" s="3"/>
    </row>
    <row r="379" spans="1:14" x14ac:dyDescent="0.35">
      <c r="A379" s="1" t="s">
        <v>0</v>
      </c>
      <c r="B379" s="1" t="s">
        <v>1</v>
      </c>
      <c r="C379" s="1" t="s">
        <v>144</v>
      </c>
      <c r="D379" s="1" t="s">
        <v>145</v>
      </c>
    </row>
    <row r="380" spans="1:14" x14ac:dyDescent="0.35">
      <c r="A380" t="s">
        <v>162</v>
      </c>
      <c r="B380" t="s">
        <v>162</v>
      </c>
      <c r="C380" t="s">
        <v>3</v>
      </c>
      <c r="D380" t="s">
        <v>13</v>
      </c>
    </row>
    <row r="382" spans="1:14" x14ac:dyDescent="0.35">
      <c r="B382" s="1" t="str">
        <f>'[7]Population Definitions'!$A$9</f>
        <v>ol_hm</v>
      </c>
    </row>
    <row r="383" spans="1:14" x14ac:dyDescent="0.35">
      <c r="A383" s="1" t="str">
        <f>'[7]Population Definitions'!$A$2</f>
        <v>anc_hm</v>
      </c>
      <c r="B383" s="5" t="s">
        <v>146</v>
      </c>
    </row>
    <row r="385" spans="1:14" x14ac:dyDescent="0.35">
      <c r="A385" s="1" t="s">
        <v>147</v>
      </c>
      <c r="B385" s="1"/>
      <c r="C385" s="1" t="s">
        <v>148</v>
      </c>
      <c r="D385" s="1" t="s">
        <v>28</v>
      </c>
      <c r="E385" s="1" t="s">
        <v>29</v>
      </c>
      <c r="F385" s="1" t="s">
        <v>30</v>
      </c>
      <c r="G385" s="1" t="s">
        <v>31</v>
      </c>
      <c r="H385" s="1"/>
      <c r="I385" s="1">
        <v>2020</v>
      </c>
      <c r="J385" s="1">
        <v>2021</v>
      </c>
      <c r="K385" s="1">
        <v>2022</v>
      </c>
      <c r="L385" s="1">
        <v>2023</v>
      </c>
      <c r="M385" s="1">
        <v>2024</v>
      </c>
      <c r="N385" s="1">
        <v>2025</v>
      </c>
    </row>
    <row r="386" spans="1:14" x14ac:dyDescent="0.35">
      <c r="A386" s="1" t="str">
        <f>IF($B$383="Y",'[7]Population Definitions'!$A$2,"...")</f>
        <v>anc_hm</v>
      </c>
      <c r="B386" s="4" t="str">
        <f>IF($B$383="Y","---&gt;","...")</f>
        <v>---&gt;</v>
      </c>
      <c r="C386" s="1" t="str">
        <f>IF($B$383="Y",'[7]Population Definitions'!$A$9,"...")</f>
        <v>ol_hm</v>
      </c>
      <c r="D386" t="s">
        <v>32</v>
      </c>
      <c r="E386" s="3" t="s">
        <v>118</v>
      </c>
      <c r="F386" s="3"/>
      <c r="G386" s="3">
        <v>1</v>
      </c>
      <c r="H386" s="4" t="str">
        <f>IF($B$383="Y","OR","...")</f>
        <v>OR</v>
      </c>
      <c r="I386" s="3"/>
      <c r="J386" s="3"/>
      <c r="K386" s="3"/>
      <c r="L386" s="3"/>
      <c r="M386" s="3"/>
      <c r="N386" s="3"/>
    </row>
    <row r="388" spans="1:14" x14ac:dyDescent="0.35">
      <c r="A388" s="1" t="s">
        <v>0</v>
      </c>
      <c r="B388" s="1" t="s">
        <v>1</v>
      </c>
      <c r="C388" s="1" t="s">
        <v>144</v>
      </c>
      <c r="D388" s="1" t="s">
        <v>145</v>
      </c>
    </row>
    <row r="389" spans="1:14" x14ac:dyDescent="0.35">
      <c r="A389" t="s">
        <v>163</v>
      </c>
      <c r="B389" t="s">
        <v>163</v>
      </c>
      <c r="C389" t="s">
        <v>9</v>
      </c>
      <c r="D389" t="s">
        <v>13</v>
      </c>
    </row>
    <row r="391" spans="1:14" x14ac:dyDescent="0.35">
      <c r="B391" s="1" t="str">
        <f>'[7]Population Definitions'!$A$9</f>
        <v>ol_hm</v>
      </c>
    </row>
    <row r="392" spans="1:14" x14ac:dyDescent="0.35">
      <c r="A392" s="1" t="str">
        <f>'[7]Population Definitions'!$A$5</f>
        <v>hm_hm</v>
      </c>
      <c r="B392" s="5" t="s">
        <v>146</v>
      </c>
    </row>
    <row r="394" spans="1:14" x14ac:dyDescent="0.35">
      <c r="A394" s="1" t="s">
        <v>147</v>
      </c>
      <c r="B394" s="1"/>
      <c r="C394" s="1" t="s">
        <v>148</v>
      </c>
      <c r="D394" s="1" t="s">
        <v>28</v>
      </c>
      <c r="E394" s="1" t="s">
        <v>29</v>
      </c>
      <c r="F394" s="1" t="s">
        <v>30</v>
      </c>
      <c r="G394" s="1" t="s">
        <v>31</v>
      </c>
      <c r="H394" s="1"/>
      <c r="I394" s="1">
        <v>2020</v>
      </c>
      <c r="J394" s="1">
        <v>2021</v>
      </c>
      <c r="K394" s="1">
        <v>2022</v>
      </c>
      <c r="L394" s="1">
        <v>2023</v>
      </c>
      <c r="M394" s="1">
        <v>2024</v>
      </c>
      <c r="N394" s="1">
        <v>2025</v>
      </c>
    </row>
    <row r="395" spans="1:14" x14ac:dyDescent="0.35">
      <c r="A395" s="1" t="str">
        <f>IF($B$392="Y",'[7]Population Definitions'!$A$5,"...")</f>
        <v>hm_hm</v>
      </c>
      <c r="B395" s="4" t="str">
        <f>IF($B$392="Y","---&gt;","...")</f>
        <v>---&gt;</v>
      </c>
      <c r="C395" s="1" t="str">
        <f>IF($B$392="Y",'[7]Population Definitions'!$A$9,"...")</f>
        <v>ol_hm</v>
      </c>
      <c r="D395" t="s">
        <v>32</v>
      </c>
      <c r="E395" s="3" t="s">
        <v>118</v>
      </c>
      <c r="F395" s="3"/>
      <c r="G395" s="3">
        <v>1</v>
      </c>
      <c r="H395" s="4" t="str">
        <f>IF($B$392="Y","OR","...")</f>
        <v>OR</v>
      </c>
      <c r="I395" s="3"/>
      <c r="J395" s="3"/>
      <c r="K395" s="3"/>
      <c r="L395" s="3"/>
      <c r="M395" s="3"/>
      <c r="N395" s="3"/>
    </row>
    <row r="397" spans="1:14" x14ac:dyDescent="0.35">
      <c r="A397" s="1" t="s">
        <v>0</v>
      </c>
      <c r="B397" s="1" t="s">
        <v>1</v>
      </c>
      <c r="C397" s="1" t="s">
        <v>144</v>
      </c>
      <c r="D397" s="1" t="s">
        <v>145</v>
      </c>
    </row>
    <row r="398" spans="1:14" x14ac:dyDescent="0.35">
      <c r="A398" t="s">
        <v>164</v>
      </c>
      <c r="B398" t="s">
        <v>164</v>
      </c>
      <c r="C398" t="s">
        <v>13</v>
      </c>
      <c r="D398" t="s">
        <v>13</v>
      </c>
    </row>
    <row r="400" spans="1:14" x14ac:dyDescent="0.35">
      <c r="B400" s="1" t="str">
        <f>'[7]Population Definitions'!$A$9</f>
        <v>ol_hm</v>
      </c>
    </row>
    <row r="401" spans="1:14" x14ac:dyDescent="0.35">
      <c r="A401" s="1" t="str">
        <f>'[7]Population Definitions'!$A$9</f>
        <v>ol_hm</v>
      </c>
      <c r="B401" s="5" t="s">
        <v>146</v>
      </c>
    </row>
    <row r="403" spans="1:14" x14ac:dyDescent="0.35">
      <c r="A403" s="1" t="s">
        <v>147</v>
      </c>
      <c r="B403" s="1"/>
      <c r="C403" s="1" t="s">
        <v>148</v>
      </c>
      <c r="D403" s="1" t="s">
        <v>28</v>
      </c>
      <c r="E403" s="1" t="s">
        <v>29</v>
      </c>
      <c r="F403" s="1" t="s">
        <v>30</v>
      </c>
      <c r="G403" s="1" t="s">
        <v>31</v>
      </c>
      <c r="H403" s="1"/>
      <c r="I403" s="1">
        <v>2020</v>
      </c>
      <c r="J403" s="1">
        <v>2021</v>
      </c>
      <c r="K403" s="1">
        <v>2022</v>
      </c>
      <c r="L403" s="1">
        <v>2023</v>
      </c>
      <c r="M403" s="1">
        <v>2024</v>
      </c>
      <c r="N403" s="1">
        <v>2025</v>
      </c>
    </row>
    <row r="404" spans="1:14" x14ac:dyDescent="0.35">
      <c r="A404" s="1" t="str">
        <f>IF($B$401="Y",'[7]Population Definitions'!$A$9,"...")</f>
        <v>ol_hm</v>
      </c>
      <c r="B404" s="4" t="str">
        <f>IF($B$401="Y","---&gt;","...")</f>
        <v>---&gt;</v>
      </c>
      <c r="C404" s="1" t="str">
        <f>IF($B$401="Y",'[7]Population Definitions'!$A$9,"...")</f>
        <v>ol_hm</v>
      </c>
      <c r="D404" t="s">
        <v>32</v>
      </c>
      <c r="E404" s="3" t="s">
        <v>118</v>
      </c>
      <c r="F404" s="3"/>
      <c r="G404" s="3">
        <v>1</v>
      </c>
      <c r="H404" s="4" t="str">
        <f>IF($B$401="Y","OR","...")</f>
        <v>OR</v>
      </c>
      <c r="I404" s="3"/>
      <c r="J404" s="3"/>
      <c r="K404" s="3"/>
      <c r="L404" s="3"/>
      <c r="M404" s="3"/>
      <c r="N404" s="3"/>
    </row>
    <row r="406" spans="1:14" x14ac:dyDescent="0.35">
      <c r="A406" s="1" t="s">
        <v>0</v>
      </c>
      <c r="B406" s="1" t="s">
        <v>1</v>
      </c>
      <c r="C406" s="1" t="s">
        <v>144</v>
      </c>
      <c r="D406" s="1" t="s">
        <v>145</v>
      </c>
    </row>
    <row r="407" spans="1:14" x14ac:dyDescent="0.35">
      <c r="A407" t="s">
        <v>165</v>
      </c>
      <c r="B407" t="s">
        <v>165</v>
      </c>
      <c r="C407" t="s">
        <v>19</v>
      </c>
      <c r="D407" t="s">
        <v>13</v>
      </c>
    </row>
    <row r="409" spans="1:14" x14ac:dyDescent="0.35">
      <c r="B409" s="1" t="str">
        <f>'[7]Population Definitions'!$A$9</f>
        <v>ol_hm</v>
      </c>
    </row>
    <row r="410" spans="1:14" x14ac:dyDescent="0.35">
      <c r="A410" s="1" t="str">
        <f>'[7]Population Definitions'!$A$12</f>
        <v>pt_hm</v>
      </c>
      <c r="B410" s="5" t="s">
        <v>146</v>
      </c>
    </row>
    <row r="412" spans="1:14" x14ac:dyDescent="0.35">
      <c r="A412" s="1" t="s">
        <v>147</v>
      </c>
      <c r="B412" s="1"/>
      <c r="C412" s="1" t="s">
        <v>148</v>
      </c>
      <c r="D412" s="1" t="s">
        <v>28</v>
      </c>
      <c r="E412" s="1" t="s">
        <v>29</v>
      </c>
      <c r="F412" s="1" t="s">
        <v>30</v>
      </c>
      <c r="G412" s="1" t="s">
        <v>31</v>
      </c>
      <c r="H412" s="1"/>
      <c r="I412" s="1">
        <v>2020</v>
      </c>
      <c r="J412" s="1">
        <v>2021</v>
      </c>
      <c r="K412" s="1">
        <v>2022</v>
      </c>
      <c r="L412" s="1">
        <v>2023</v>
      </c>
      <c r="M412" s="1">
        <v>2024</v>
      </c>
      <c r="N412" s="1">
        <v>2025</v>
      </c>
    </row>
    <row r="413" spans="1:14" x14ac:dyDescent="0.35">
      <c r="A413" s="1" t="str">
        <f>IF($B$410="Y",'[7]Population Definitions'!$A$12,"...")</f>
        <v>pt_hm</v>
      </c>
      <c r="B413" s="4" t="str">
        <f>IF($B$410="Y","---&gt;","...")</f>
        <v>---&gt;</v>
      </c>
      <c r="C413" s="1" t="str">
        <f>IF($B$410="Y",'[7]Population Definitions'!$A$9,"...")</f>
        <v>ol_hm</v>
      </c>
      <c r="D413" t="s">
        <v>32</v>
      </c>
      <c r="E413" s="3" t="s">
        <v>118</v>
      </c>
      <c r="F413" s="3"/>
      <c r="G413" s="3">
        <v>1</v>
      </c>
      <c r="H413" s="4" t="str">
        <f>IF($B$410="Y","OR","...")</f>
        <v>OR</v>
      </c>
      <c r="I413" s="3"/>
      <c r="J413" s="3"/>
      <c r="K413" s="3"/>
      <c r="L413" s="3"/>
      <c r="M413" s="3"/>
      <c r="N413" s="3"/>
    </row>
    <row r="415" spans="1:14" x14ac:dyDescent="0.35">
      <c r="A415" s="1" t="s">
        <v>0</v>
      </c>
      <c r="B415" s="1" t="s">
        <v>1</v>
      </c>
      <c r="C415" s="1" t="s">
        <v>144</v>
      </c>
      <c r="D415" s="1" t="s">
        <v>145</v>
      </c>
    </row>
    <row r="416" spans="1:14" x14ac:dyDescent="0.35">
      <c r="A416" t="s">
        <v>166</v>
      </c>
      <c r="B416" t="s">
        <v>166</v>
      </c>
      <c r="C416" t="s">
        <v>11</v>
      </c>
      <c r="D416" t="s">
        <v>13</v>
      </c>
    </row>
    <row r="418" spans="1:14" x14ac:dyDescent="0.35">
      <c r="B418" s="1" t="str">
        <f>'[7]Population Definitions'!$A$9</f>
        <v>ol_hm</v>
      </c>
    </row>
    <row r="419" spans="1:14" x14ac:dyDescent="0.35">
      <c r="A419" s="1" t="str">
        <f>'[7]Population Definitions'!$A$6</f>
        <v>msep_hm</v>
      </c>
      <c r="B419" s="5" t="s">
        <v>146</v>
      </c>
    </row>
    <row r="421" spans="1:14" x14ac:dyDescent="0.35">
      <c r="A421" s="1" t="s">
        <v>147</v>
      </c>
      <c r="B421" s="1"/>
      <c r="C421" s="1" t="s">
        <v>148</v>
      </c>
      <c r="D421" s="1" t="s">
        <v>28</v>
      </c>
      <c r="E421" s="1" t="s">
        <v>29</v>
      </c>
      <c r="F421" s="1" t="s">
        <v>30</v>
      </c>
      <c r="G421" s="1" t="s">
        <v>31</v>
      </c>
      <c r="H421" s="1"/>
      <c r="I421" s="1">
        <v>2020</v>
      </c>
      <c r="J421" s="1">
        <v>2021</v>
      </c>
      <c r="K421" s="1">
        <v>2022</v>
      </c>
      <c r="L421" s="1">
        <v>2023</v>
      </c>
      <c r="M421" s="1">
        <v>2024</v>
      </c>
      <c r="N421" s="1">
        <v>2025</v>
      </c>
    </row>
    <row r="422" spans="1:14" x14ac:dyDescent="0.35">
      <c r="A422" s="1" t="str">
        <f>IF($B$419="Y",'[7]Population Definitions'!$A$6,"...")</f>
        <v>msep_hm</v>
      </c>
      <c r="B422" s="4" t="str">
        <f>IF($B$419="Y","---&gt;","...")</f>
        <v>---&gt;</v>
      </c>
      <c r="C422" s="1" t="str">
        <f>IF($B$419="Y",'[7]Population Definitions'!$A$9,"...")</f>
        <v>ol_hm</v>
      </c>
      <c r="D422" t="s">
        <v>32</v>
      </c>
      <c r="E422" s="3" t="s">
        <v>118</v>
      </c>
      <c r="F422" s="3"/>
      <c r="G422" s="3">
        <v>1</v>
      </c>
      <c r="H422" s="4" t="str">
        <f>IF($B$419="Y","OR","...")</f>
        <v>OR</v>
      </c>
      <c r="I422" s="3"/>
      <c r="J422" s="3"/>
      <c r="K422" s="3"/>
      <c r="L422" s="3"/>
      <c r="M422" s="3"/>
      <c r="N422" s="3"/>
    </row>
    <row r="424" spans="1:14" x14ac:dyDescent="0.35">
      <c r="A424" s="1" t="s">
        <v>0</v>
      </c>
      <c r="B424" s="1" t="s">
        <v>1</v>
      </c>
      <c r="C424" s="1" t="s">
        <v>144</v>
      </c>
      <c r="D424" s="1" t="s">
        <v>145</v>
      </c>
    </row>
    <row r="425" spans="1:14" x14ac:dyDescent="0.35">
      <c r="A425" t="s">
        <v>191</v>
      </c>
      <c r="B425" t="s">
        <v>191</v>
      </c>
      <c r="C425" t="s">
        <v>7</v>
      </c>
      <c r="D425" t="s">
        <v>13</v>
      </c>
    </row>
    <row r="427" spans="1:14" x14ac:dyDescent="0.35">
      <c r="B427" s="1" t="str">
        <f>'[7]Population Definitions'!$A$9</f>
        <v>ol_hm</v>
      </c>
    </row>
    <row r="428" spans="1:14" x14ac:dyDescent="0.35">
      <c r="A428" s="1" t="str">
        <f>'[7]Population Definitions'!$A$4</f>
        <v>an_hm</v>
      </c>
      <c r="B428" s="5" t="s">
        <v>146</v>
      </c>
    </row>
    <row r="430" spans="1:14" x14ac:dyDescent="0.35">
      <c r="A430" s="1" t="s">
        <v>147</v>
      </c>
      <c r="B430" s="1"/>
      <c r="C430" s="1" t="s">
        <v>148</v>
      </c>
      <c r="D430" s="1" t="s">
        <v>28</v>
      </c>
      <c r="E430" s="1" t="s">
        <v>29</v>
      </c>
      <c r="F430" s="1" t="s">
        <v>30</v>
      </c>
      <c r="G430" s="1" t="s">
        <v>31</v>
      </c>
      <c r="H430" s="1"/>
      <c r="I430" s="1">
        <v>2020</v>
      </c>
      <c r="J430" s="1">
        <v>2021</v>
      </c>
      <c r="K430" s="1">
        <v>2022</v>
      </c>
      <c r="L430" s="1">
        <v>2023</v>
      </c>
      <c r="M430" s="1">
        <v>2024</v>
      </c>
      <c r="N430" s="1">
        <v>2025</v>
      </c>
    </row>
    <row r="431" spans="1:14" x14ac:dyDescent="0.35">
      <c r="A431" s="1" t="str">
        <f>IF($B$428="Y",'[7]Population Definitions'!$A$4,"...")</f>
        <v>an_hm</v>
      </c>
      <c r="B431" s="4" t="str">
        <f>IF($B$428="Y","---&gt;","...")</f>
        <v>---&gt;</v>
      </c>
      <c r="C431" s="1" t="str">
        <f>IF($B$428="Y",'[7]Population Definitions'!$A$9,"...")</f>
        <v>ol_hm</v>
      </c>
      <c r="D431" t="s">
        <v>32</v>
      </c>
      <c r="E431" s="3" t="s">
        <v>118</v>
      </c>
      <c r="F431" s="3"/>
      <c r="G431" s="3">
        <v>1</v>
      </c>
      <c r="H431" s="4" t="str">
        <f>IF($B$428="Y","OR","...")</f>
        <v>OR</v>
      </c>
      <c r="I431" s="3"/>
      <c r="J431" s="3"/>
      <c r="K431" s="3"/>
      <c r="L431" s="3"/>
      <c r="M431" s="3"/>
      <c r="N431" s="3"/>
    </row>
    <row r="433" spans="1:14" x14ac:dyDescent="0.35">
      <c r="A433" s="1" t="s">
        <v>0</v>
      </c>
      <c r="B433" s="1" t="s">
        <v>1</v>
      </c>
      <c r="C433" s="1" t="s">
        <v>144</v>
      </c>
      <c r="D433" s="1" t="s">
        <v>145</v>
      </c>
    </row>
    <row r="434" spans="1:14" x14ac:dyDescent="0.35">
      <c r="A434" t="s">
        <v>346</v>
      </c>
      <c r="B434" t="s">
        <v>346</v>
      </c>
      <c r="C434" t="s">
        <v>333</v>
      </c>
      <c r="D434" t="s">
        <v>13</v>
      </c>
    </row>
    <row r="436" spans="1:14" x14ac:dyDescent="0.35">
      <c r="B436" s="1" t="str">
        <f>'[7]Population Definitions'!$A$9</f>
        <v>ol_hm</v>
      </c>
    </row>
    <row r="437" spans="1:14" x14ac:dyDescent="0.35">
      <c r="A437" s="1" t="str">
        <f>'[7]Population Definitions'!$A$8</f>
        <v>mnut_hm</v>
      </c>
      <c r="B437" s="5" t="s">
        <v>146</v>
      </c>
    </row>
    <row r="439" spans="1:14" x14ac:dyDescent="0.35">
      <c r="A439" s="1" t="s">
        <v>147</v>
      </c>
      <c r="B439" s="1"/>
      <c r="C439" s="1" t="s">
        <v>148</v>
      </c>
      <c r="D439" s="1" t="s">
        <v>28</v>
      </c>
      <c r="E439" s="1" t="s">
        <v>29</v>
      </c>
      <c r="F439" s="1" t="s">
        <v>30</v>
      </c>
      <c r="G439" s="1" t="s">
        <v>31</v>
      </c>
      <c r="H439" s="1"/>
      <c r="I439" s="1">
        <v>2020</v>
      </c>
      <c r="J439" s="1">
        <v>2021</v>
      </c>
      <c r="K439" s="1">
        <v>2022</v>
      </c>
      <c r="L439" s="1">
        <v>2023</v>
      </c>
      <c r="M439" s="1">
        <v>2024</v>
      </c>
      <c r="N439" s="1">
        <v>2025</v>
      </c>
    </row>
    <row r="440" spans="1:14" x14ac:dyDescent="0.35">
      <c r="A440" s="1" t="str">
        <f>IF($B$437="Y",'[7]Population Definitions'!$A$8,"...")</f>
        <v>mnut_hm</v>
      </c>
      <c r="B440" s="4" t="str">
        <f>IF($B$437="Y","---&gt;","...")</f>
        <v>---&gt;</v>
      </c>
      <c r="C440" s="1" t="str">
        <f>IF($B$437="Y",'[7]Population Definitions'!$A$9,"...")</f>
        <v>ol_hm</v>
      </c>
      <c r="D440" t="s">
        <v>32</v>
      </c>
      <c r="E440" s="3" t="s">
        <v>118</v>
      </c>
      <c r="F440" s="3"/>
      <c r="G440" s="3">
        <v>1</v>
      </c>
      <c r="H440" s="4" t="str">
        <f>IF($B$437="Y","OR","...")</f>
        <v>OR</v>
      </c>
      <c r="I440" s="3"/>
      <c r="J440" s="3"/>
      <c r="K440" s="3"/>
      <c r="L440" s="3"/>
      <c r="M440" s="3"/>
      <c r="N440" s="3"/>
    </row>
    <row r="442" spans="1:14" x14ac:dyDescent="0.35">
      <c r="A442" s="1" t="s">
        <v>0</v>
      </c>
      <c r="B442" s="1" t="s">
        <v>1</v>
      </c>
      <c r="C442" s="1" t="s">
        <v>144</v>
      </c>
      <c r="D442" s="1" t="s">
        <v>145</v>
      </c>
    </row>
    <row r="443" spans="1:14" x14ac:dyDescent="0.35">
      <c r="A443" t="s">
        <v>276</v>
      </c>
      <c r="B443" t="s">
        <v>276</v>
      </c>
      <c r="C443" t="s">
        <v>19</v>
      </c>
      <c r="D443" t="s">
        <v>15</v>
      </c>
    </row>
    <row r="445" spans="1:14" x14ac:dyDescent="0.35">
      <c r="B445" s="1" t="str">
        <f>'[7]Population Definitions'!$A$10</f>
        <v>oth_hm</v>
      </c>
    </row>
    <row r="446" spans="1:14" x14ac:dyDescent="0.35">
      <c r="A446" s="1" t="str">
        <f>'[7]Population Definitions'!$A$12</f>
        <v>pt_hm</v>
      </c>
      <c r="B446" s="5" t="s">
        <v>146</v>
      </c>
    </row>
    <row r="448" spans="1:14" x14ac:dyDescent="0.35">
      <c r="A448" s="1" t="s">
        <v>147</v>
      </c>
      <c r="B448" s="1"/>
      <c r="C448" s="1" t="s">
        <v>148</v>
      </c>
      <c r="D448" s="1" t="s">
        <v>28</v>
      </c>
      <c r="E448" s="1" t="s">
        <v>29</v>
      </c>
      <c r="F448" s="1" t="s">
        <v>30</v>
      </c>
      <c r="G448" s="1" t="s">
        <v>31</v>
      </c>
      <c r="H448" s="1"/>
      <c r="I448" s="1">
        <v>2020</v>
      </c>
      <c r="J448" s="1">
        <v>2021</v>
      </c>
      <c r="K448" s="1">
        <v>2022</v>
      </c>
      <c r="L448" s="1">
        <v>2023</v>
      </c>
      <c r="M448" s="1">
        <v>2024</v>
      </c>
      <c r="N448" s="1">
        <v>2025</v>
      </c>
    </row>
    <row r="449" spans="1:14" x14ac:dyDescent="0.35">
      <c r="A449" s="1" t="str">
        <f>IF($B$446="Y",'[7]Population Definitions'!$A$12,"...")</f>
        <v>pt_hm</v>
      </c>
      <c r="B449" s="4" t="str">
        <f>IF($B$446="Y","---&gt;","...")</f>
        <v>---&gt;</v>
      </c>
      <c r="C449" s="1" t="str">
        <f>IF($B$446="Y",'[7]Population Definitions'!$A$10,"...")</f>
        <v>oth_hm</v>
      </c>
      <c r="D449" t="s">
        <v>32</v>
      </c>
      <c r="E449" s="3" t="s">
        <v>118</v>
      </c>
      <c r="F449" s="3"/>
      <c r="G449" s="3">
        <v>1</v>
      </c>
      <c r="H449" s="4" t="str">
        <f>IF($B$446="Y","OR","...")</f>
        <v>OR</v>
      </c>
      <c r="I449" s="3"/>
      <c r="J449" s="3"/>
      <c r="K449" s="3"/>
      <c r="L449" s="3"/>
      <c r="M449" s="3"/>
      <c r="N449" s="3"/>
    </row>
    <row r="451" spans="1:14" x14ac:dyDescent="0.35">
      <c r="A451" s="1" t="s">
        <v>0</v>
      </c>
      <c r="B451" s="1" t="s">
        <v>1</v>
      </c>
      <c r="C451" s="1" t="s">
        <v>144</v>
      </c>
      <c r="D451" s="1" t="s">
        <v>145</v>
      </c>
    </row>
    <row r="452" spans="1:14" x14ac:dyDescent="0.35">
      <c r="A452" t="s">
        <v>237</v>
      </c>
      <c r="B452" t="s">
        <v>237</v>
      </c>
      <c r="C452" t="s">
        <v>3</v>
      </c>
      <c r="D452" t="s">
        <v>15</v>
      </c>
    </row>
    <row r="454" spans="1:14" x14ac:dyDescent="0.35">
      <c r="B454" s="1" t="str">
        <f>'[7]Population Definitions'!$A$10</f>
        <v>oth_hm</v>
      </c>
    </row>
    <row r="455" spans="1:14" x14ac:dyDescent="0.35">
      <c r="A455" s="1" t="str">
        <f>'[7]Population Definitions'!$A$2</f>
        <v>anc_hm</v>
      </c>
      <c r="B455" s="5" t="s">
        <v>146</v>
      </c>
    </row>
    <row r="457" spans="1:14" x14ac:dyDescent="0.35">
      <c r="A457" s="1" t="s">
        <v>147</v>
      </c>
      <c r="B457" s="1"/>
      <c r="C457" s="1" t="s">
        <v>148</v>
      </c>
      <c r="D457" s="1" t="s">
        <v>28</v>
      </c>
      <c r="E457" s="1" t="s">
        <v>29</v>
      </c>
      <c r="F457" s="1" t="s">
        <v>30</v>
      </c>
      <c r="G457" s="1" t="s">
        <v>31</v>
      </c>
      <c r="H457" s="1"/>
      <c r="I457" s="1">
        <v>2020</v>
      </c>
      <c r="J457" s="1">
        <v>2021</v>
      </c>
      <c r="K457" s="1">
        <v>2022</v>
      </c>
      <c r="L457" s="1">
        <v>2023</v>
      </c>
      <c r="M457" s="1">
        <v>2024</v>
      </c>
      <c r="N457" s="1">
        <v>2025</v>
      </c>
    </row>
    <row r="458" spans="1:14" x14ac:dyDescent="0.35">
      <c r="A458" s="1" t="str">
        <f>IF($B$455="Y",'[7]Population Definitions'!$A$2,"...")</f>
        <v>anc_hm</v>
      </c>
      <c r="B458" s="4" t="str">
        <f>IF($B$455="Y","---&gt;","...")</f>
        <v>---&gt;</v>
      </c>
      <c r="C458" s="1" t="str">
        <f>IF($B$455="Y",'[7]Population Definitions'!$A$10,"...")</f>
        <v>oth_hm</v>
      </c>
      <c r="D458" t="s">
        <v>32</v>
      </c>
      <c r="E458" s="3" t="s">
        <v>118</v>
      </c>
      <c r="F458" s="3"/>
      <c r="G458" s="3">
        <v>1</v>
      </c>
      <c r="H458" s="4" t="str">
        <f>IF($B$455="Y","OR","...")</f>
        <v>OR</v>
      </c>
      <c r="I458" s="3"/>
      <c r="J458" s="3"/>
      <c r="K458" s="3"/>
      <c r="L458" s="3"/>
      <c r="M458" s="3"/>
      <c r="N458" s="3"/>
    </row>
    <row r="460" spans="1:14" x14ac:dyDescent="0.35">
      <c r="A460" s="1" t="s">
        <v>0</v>
      </c>
      <c r="B460" s="1" t="s">
        <v>1</v>
      </c>
      <c r="C460" s="1" t="s">
        <v>144</v>
      </c>
      <c r="D460" s="1" t="s">
        <v>145</v>
      </c>
    </row>
    <row r="461" spans="1:14" x14ac:dyDescent="0.35">
      <c r="A461" t="s">
        <v>231</v>
      </c>
      <c r="B461" t="s">
        <v>231</v>
      </c>
      <c r="C461" t="s">
        <v>5</v>
      </c>
      <c r="D461" t="s">
        <v>15</v>
      </c>
    </row>
    <row r="463" spans="1:14" x14ac:dyDescent="0.35">
      <c r="B463" s="1" t="str">
        <f>'[7]Population Definitions'!$A$10</f>
        <v>oth_hm</v>
      </c>
    </row>
    <row r="464" spans="1:14" x14ac:dyDescent="0.35">
      <c r="A464" s="1" t="str">
        <f>'[7]Population Definitions'!$A$3</f>
        <v>asx_hm</v>
      </c>
      <c r="B464" s="5" t="s">
        <v>146</v>
      </c>
    </row>
    <row r="466" spans="1:14" x14ac:dyDescent="0.35">
      <c r="A466" s="1" t="s">
        <v>147</v>
      </c>
      <c r="B466" s="1"/>
      <c r="C466" s="1" t="s">
        <v>148</v>
      </c>
      <c r="D466" s="1" t="s">
        <v>28</v>
      </c>
      <c r="E466" s="1" t="s">
        <v>29</v>
      </c>
      <c r="F466" s="1" t="s">
        <v>30</v>
      </c>
      <c r="G466" s="1" t="s">
        <v>31</v>
      </c>
      <c r="H466" s="1"/>
      <c r="I466" s="1">
        <v>2020</v>
      </c>
      <c r="J466" s="1">
        <v>2021</v>
      </c>
      <c r="K466" s="1">
        <v>2022</v>
      </c>
      <c r="L466" s="1">
        <v>2023</v>
      </c>
      <c r="M466" s="1">
        <v>2024</v>
      </c>
      <c r="N466" s="1">
        <v>2025</v>
      </c>
    </row>
    <row r="467" spans="1:14" x14ac:dyDescent="0.35">
      <c r="A467" s="1" t="str">
        <f>IF($B$464="Y",'[7]Population Definitions'!$A$3,"...")</f>
        <v>asx_hm</v>
      </c>
      <c r="B467" s="4" t="str">
        <f>IF($B$464="Y","---&gt;","...")</f>
        <v>---&gt;</v>
      </c>
      <c r="C467" s="1" t="str">
        <f>IF($B$464="Y",'[7]Population Definitions'!$A$10,"...")</f>
        <v>oth_hm</v>
      </c>
      <c r="D467" t="s">
        <v>32</v>
      </c>
      <c r="E467" s="3" t="s">
        <v>118</v>
      </c>
      <c r="F467" s="3"/>
      <c r="G467" s="3">
        <v>1</v>
      </c>
      <c r="H467" s="4" t="str">
        <f>IF($B$464="Y","OR","...")</f>
        <v>OR</v>
      </c>
      <c r="I467" s="3"/>
      <c r="J467" s="3"/>
      <c r="K467" s="3"/>
      <c r="L467" s="3"/>
      <c r="M467" s="3"/>
      <c r="N467" s="3"/>
    </row>
    <row r="469" spans="1:14" x14ac:dyDescent="0.35">
      <c r="A469" s="1" t="s">
        <v>0</v>
      </c>
      <c r="B469" s="1" t="s">
        <v>1</v>
      </c>
      <c r="C469" s="1" t="s">
        <v>144</v>
      </c>
      <c r="D469" s="1" t="s">
        <v>145</v>
      </c>
    </row>
    <row r="470" spans="1:14" x14ac:dyDescent="0.35">
      <c r="A470" t="s">
        <v>294</v>
      </c>
      <c r="B470" t="s">
        <v>294</v>
      </c>
      <c r="C470" t="s">
        <v>11</v>
      </c>
      <c r="D470" t="s">
        <v>15</v>
      </c>
    </row>
    <row r="472" spans="1:14" x14ac:dyDescent="0.35">
      <c r="B472" s="1" t="str">
        <f>'[7]Population Definitions'!$A$10</f>
        <v>oth_hm</v>
      </c>
    </row>
    <row r="473" spans="1:14" x14ac:dyDescent="0.35">
      <c r="A473" s="1" t="str">
        <f>'[7]Population Definitions'!$A$6</f>
        <v>msep_hm</v>
      </c>
      <c r="B473" s="5" t="s">
        <v>146</v>
      </c>
    </row>
    <row r="475" spans="1:14" x14ac:dyDescent="0.35">
      <c r="A475" s="1" t="s">
        <v>147</v>
      </c>
      <c r="B475" s="1"/>
      <c r="C475" s="1" t="s">
        <v>148</v>
      </c>
      <c r="D475" s="1" t="s">
        <v>28</v>
      </c>
      <c r="E475" s="1" t="s">
        <v>29</v>
      </c>
      <c r="F475" s="1" t="s">
        <v>30</v>
      </c>
      <c r="G475" s="1" t="s">
        <v>31</v>
      </c>
      <c r="H475" s="1"/>
      <c r="I475" s="1">
        <v>2020</v>
      </c>
      <c r="J475" s="1">
        <v>2021</v>
      </c>
      <c r="K475" s="1">
        <v>2022</v>
      </c>
      <c r="L475" s="1">
        <v>2023</v>
      </c>
      <c r="M475" s="1">
        <v>2024</v>
      </c>
      <c r="N475" s="1">
        <v>2025</v>
      </c>
    </row>
    <row r="476" spans="1:14" x14ac:dyDescent="0.35">
      <c r="A476" s="1" t="str">
        <f>IF($B$473="Y",'[7]Population Definitions'!$A$6,"...")</f>
        <v>msep_hm</v>
      </c>
      <c r="B476" s="4" t="str">
        <f>IF($B$473="Y","---&gt;","...")</f>
        <v>---&gt;</v>
      </c>
      <c r="C476" s="1" t="str">
        <f>IF($B$473="Y",'[7]Population Definitions'!$A$10,"...")</f>
        <v>oth_hm</v>
      </c>
      <c r="D476" t="s">
        <v>32</v>
      </c>
      <c r="E476" s="3" t="s">
        <v>118</v>
      </c>
      <c r="F476" s="3"/>
      <c r="G476" s="3">
        <v>1</v>
      </c>
      <c r="H476" s="4" t="str">
        <f>IF($B$473="Y","OR","...")</f>
        <v>OR</v>
      </c>
      <c r="I476" s="3"/>
      <c r="J476" s="3"/>
      <c r="K476" s="3"/>
      <c r="L476" s="3"/>
      <c r="M476" s="3"/>
      <c r="N476" s="3"/>
    </row>
    <row r="478" spans="1:14" x14ac:dyDescent="0.35">
      <c r="A478" s="1" t="s">
        <v>0</v>
      </c>
      <c r="B478" s="1" t="s">
        <v>1</v>
      </c>
      <c r="C478" s="1" t="s">
        <v>144</v>
      </c>
      <c r="D478" s="1" t="s">
        <v>145</v>
      </c>
    </row>
    <row r="479" spans="1:14" x14ac:dyDescent="0.35">
      <c r="A479" t="s">
        <v>249</v>
      </c>
      <c r="B479" t="s">
        <v>249</v>
      </c>
      <c r="C479" t="s">
        <v>17</v>
      </c>
      <c r="D479" t="s">
        <v>15</v>
      </c>
    </row>
    <row r="481" spans="1:14" x14ac:dyDescent="0.35">
      <c r="B481" s="1" t="str">
        <f>'[7]Population Definitions'!$A$10</f>
        <v>oth_hm</v>
      </c>
    </row>
    <row r="482" spans="1:14" x14ac:dyDescent="0.35">
      <c r="A482" s="1" t="str">
        <f>'[7]Population Definitions'!$A$11</f>
        <v>nsep_hm</v>
      </c>
      <c r="B482" s="5" t="s">
        <v>146</v>
      </c>
    </row>
    <row r="484" spans="1:14" x14ac:dyDescent="0.35">
      <c r="A484" s="1" t="s">
        <v>147</v>
      </c>
      <c r="B484" s="1"/>
      <c r="C484" s="1" t="s">
        <v>148</v>
      </c>
      <c r="D484" s="1" t="s">
        <v>28</v>
      </c>
      <c r="E484" s="1" t="s">
        <v>29</v>
      </c>
      <c r="F484" s="1" t="s">
        <v>30</v>
      </c>
      <c r="G484" s="1" t="s">
        <v>31</v>
      </c>
      <c r="H484" s="1"/>
      <c r="I484" s="1">
        <v>2020</v>
      </c>
      <c r="J484" s="1">
        <v>2021</v>
      </c>
      <c r="K484" s="1">
        <v>2022</v>
      </c>
      <c r="L484" s="1">
        <v>2023</v>
      </c>
      <c r="M484" s="1">
        <v>2024</v>
      </c>
      <c r="N484" s="1">
        <v>2025</v>
      </c>
    </row>
    <row r="485" spans="1:14" x14ac:dyDescent="0.35">
      <c r="A485" s="1" t="str">
        <f>IF($B$482="Y",'[7]Population Definitions'!$A$11,"...")</f>
        <v>nsep_hm</v>
      </c>
      <c r="B485" s="4" t="str">
        <f>IF($B$482="Y","---&gt;","...")</f>
        <v>---&gt;</v>
      </c>
      <c r="C485" s="1" t="str">
        <f>IF($B$482="Y",'[7]Population Definitions'!$A$10,"...")</f>
        <v>oth_hm</v>
      </c>
      <c r="D485" t="s">
        <v>32</v>
      </c>
      <c r="E485" s="3" t="s">
        <v>118</v>
      </c>
      <c r="F485" s="3"/>
      <c r="G485" s="3">
        <v>1</v>
      </c>
      <c r="H485" s="4" t="str">
        <f>IF($B$482="Y","OR","...")</f>
        <v>OR</v>
      </c>
      <c r="I485" s="3"/>
      <c r="J485" s="3"/>
      <c r="K485" s="3"/>
      <c r="L485" s="3"/>
      <c r="M485" s="3"/>
      <c r="N485" s="3"/>
    </row>
    <row r="487" spans="1:14" x14ac:dyDescent="0.35">
      <c r="A487" s="1" t="s">
        <v>0</v>
      </c>
      <c r="B487" s="1" t="s">
        <v>1</v>
      </c>
      <c r="C487" s="1" t="s">
        <v>144</v>
      </c>
      <c r="D487" s="1" t="s">
        <v>145</v>
      </c>
    </row>
    <row r="488" spans="1:14" x14ac:dyDescent="0.35">
      <c r="A488" t="s">
        <v>250</v>
      </c>
      <c r="B488" t="s">
        <v>250</v>
      </c>
      <c r="C488" t="s">
        <v>15</v>
      </c>
      <c r="D488" t="s">
        <v>15</v>
      </c>
    </row>
    <row r="490" spans="1:14" x14ac:dyDescent="0.35">
      <c r="B490" s="1" t="str">
        <f>'[7]Population Definitions'!$A$10</f>
        <v>oth_hm</v>
      </c>
    </row>
    <row r="491" spans="1:14" x14ac:dyDescent="0.35">
      <c r="A491" s="1" t="str">
        <f>'[7]Population Definitions'!$A$10</f>
        <v>oth_hm</v>
      </c>
      <c r="B491" s="5" t="s">
        <v>146</v>
      </c>
    </row>
    <row r="493" spans="1:14" x14ac:dyDescent="0.35">
      <c r="A493" s="1" t="s">
        <v>147</v>
      </c>
      <c r="B493" s="1"/>
      <c r="C493" s="1" t="s">
        <v>148</v>
      </c>
      <c r="D493" s="1" t="s">
        <v>28</v>
      </c>
      <c r="E493" s="1" t="s">
        <v>29</v>
      </c>
      <c r="F493" s="1" t="s">
        <v>30</v>
      </c>
      <c r="G493" s="1" t="s">
        <v>31</v>
      </c>
      <c r="H493" s="1"/>
      <c r="I493" s="1">
        <v>2020</v>
      </c>
      <c r="J493" s="1">
        <v>2021</v>
      </c>
      <c r="K493" s="1">
        <v>2022</v>
      </c>
      <c r="L493" s="1">
        <v>2023</v>
      </c>
      <c r="M493" s="1">
        <v>2024</v>
      </c>
      <c r="N493" s="1">
        <v>2025</v>
      </c>
    </row>
    <row r="494" spans="1:14" x14ac:dyDescent="0.35">
      <c r="A494" s="1" t="str">
        <f>IF($B$491="Y",'[7]Population Definitions'!$A$10,"...")</f>
        <v>oth_hm</v>
      </c>
      <c r="B494" s="4" t="str">
        <f>IF($B$491="Y","---&gt;","...")</f>
        <v>---&gt;</v>
      </c>
      <c r="C494" s="1" t="str">
        <f>IF($B$491="Y",'[7]Population Definitions'!$A$10,"...")</f>
        <v>oth_hm</v>
      </c>
      <c r="D494" t="s">
        <v>32</v>
      </c>
      <c r="E494" s="3" t="s">
        <v>118</v>
      </c>
      <c r="F494" s="3"/>
      <c r="G494" s="3">
        <v>1</v>
      </c>
      <c r="H494" s="4" t="str">
        <f>IF($B$491="Y","OR","...")</f>
        <v>OR</v>
      </c>
      <c r="I494" s="3"/>
      <c r="J494" s="3"/>
      <c r="K494" s="3"/>
      <c r="L494" s="3"/>
      <c r="M494" s="3"/>
      <c r="N494" s="3"/>
    </row>
    <row r="496" spans="1:14" x14ac:dyDescent="0.35">
      <c r="A496" s="1" t="s">
        <v>0</v>
      </c>
      <c r="B496" s="1" t="s">
        <v>1</v>
      </c>
      <c r="C496" s="1" t="s">
        <v>144</v>
      </c>
      <c r="D496" s="1" t="s">
        <v>145</v>
      </c>
    </row>
    <row r="497" spans="1:14" x14ac:dyDescent="0.35">
      <c r="A497" t="s">
        <v>251</v>
      </c>
      <c r="B497" t="s">
        <v>251</v>
      </c>
      <c r="C497" t="s">
        <v>21</v>
      </c>
      <c r="D497" t="s">
        <v>15</v>
      </c>
    </row>
    <row r="499" spans="1:14" x14ac:dyDescent="0.35">
      <c r="B499" s="1" t="str">
        <f>'[7]Population Definitions'!$A$10</f>
        <v>oth_hm</v>
      </c>
    </row>
    <row r="500" spans="1:14" x14ac:dyDescent="0.35">
      <c r="A500" s="1" t="str">
        <f>'[7]Population Definitions'!$A$13</f>
        <v>rds_hm</v>
      </c>
      <c r="B500" s="5" t="s">
        <v>146</v>
      </c>
    </row>
    <row r="502" spans="1:14" x14ac:dyDescent="0.35">
      <c r="A502" s="1" t="s">
        <v>147</v>
      </c>
      <c r="B502" s="1"/>
      <c r="C502" s="1" t="s">
        <v>148</v>
      </c>
      <c r="D502" s="1" t="s">
        <v>28</v>
      </c>
      <c r="E502" s="1" t="s">
        <v>29</v>
      </c>
      <c r="F502" s="1" t="s">
        <v>30</v>
      </c>
      <c r="G502" s="1" t="s">
        <v>31</v>
      </c>
      <c r="H502" s="1"/>
      <c r="I502" s="1">
        <v>2020</v>
      </c>
      <c r="J502" s="1">
        <v>2021</v>
      </c>
      <c r="K502" s="1">
        <v>2022</v>
      </c>
      <c r="L502" s="1">
        <v>2023</v>
      </c>
      <c r="M502" s="1">
        <v>2024</v>
      </c>
      <c r="N502" s="1">
        <v>2025</v>
      </c>
    </row>
    <row r="503" spans="1:14" x14ac:dyDescent="0.35">
      <c r="A503" s="1" t="str">
        <f>IF($B$500="Y",'[7]Population Definitions'!$A$13,"...")</f>
        <v>rds_hm</v>
      </c>
      <c r="B503" s="4" t="str">
        <f>IF($B$500="Y","---&gt;","...")</f>
        <v>---&gt;</v>
      </c>
      <c r="C503" s="1" t="str">
        <f>IF($B$500="Y",'[7]Population Definitions'!$A$10,"...")</f>
        <v>oth_hm</v>
      </c>
      <c r="D503" t="s">
        <v>32</v>
      </c>
      <c r="E503" s="3" t="s">
        <v>118</v>
      </c>
      <c r="F503" s="3"/>
      <c r="G503" s="3">
        <v>1</v>
      </c>
      <c r="H503" s="4" t="str">
        <f>IF($B$500="Y","OR","...")</f>
        <v>OR</v>
      </c>
      <c r="I503" s="3"/>
      <c r="J503" s="3"/>
      <c r="K503" s="3"/>
      <c r="L503" s="3"/>
      <c r="M503" s="3"/>
      <c r="N503" s="3"/>
    </row>
    <row r="505" spans="1:14" x14ac:dyDescent="0.35">
      <c r="A505" s="1" t="s">
        <v>0</v>
      </c>
      <c r="B505" s="1" t="s">
        <v>1</v>
      </c>
      <c r="C505" s="1" t="s">
        <v>144</v>
      </c>
      <c r="D505" s="1" t="s">
        <v>145</v>
      </c>
    </row>
    <row r="506" spans="1:14" x14ac:dyDescent="0.35">
      <c r="A506" t="s">
        <v>252</v>
      </c>
      <c r="B506" t="s">
        <v>252</v>
      </c>
      <c r="C506" t="s">
        <v>25</v>
      </c>
      <c r="D506" t="s">
        <v>15</v>
      </c>
    </row>
    <row r="508" spans="1:14" x14ac:dyDescent="0.35">
      <c r="B508" s="1" t="str">
        <f>'[7]Population Definitions'!$A$10</f>
        <v>oth_hm</v>
      </c>
    </row>
    <row r="509" spans="1:14" x14ac:dyDescent="0.35">
      <c r="A509" s="1" t="str">
        <f>'[7]Population Definitions'!$A$15</f>
        <v>stunting_hm</v>
      </c>
      <c r="B509" s="5" t="s">
        <v>146</v>
      </c>
    </row>
    <row r="511" spans="1:14" x14ac:dyDescent="0.35">
      <c r="A511" s="1" t="s">
        <v>147</v>
      </c>
      <c r="B511" s="1"/>
      <c r="C511" s="1" t="s">
        <v>148</v>
      </c>
      <c r="D511" s="1" t="s">
        <v>28</v>
      </c>
      <c r="E511" s="1" t="s">
        <v>29</v>
      </c>
      <c r="F511" s="1" t="s">
        <v>30</v>
      </c>
      <c r="G511" s="1" t="s">
        <v>31</v>
      </c>
      <c r="H511" s="1"/>
      <c r="I511" s="1">
        <v>2020</v>
      </c>
      <c r="J511" s="1">
        <v>2021</v>
      </c>
      <c r="K511" s="1">
        <v>2022</v>
      </c>
      <c r="L511" s="1">
        <v>2023</v>
      </c>
      <c r="M511" s="1">
        <v>2024</v>
      </c>
      <c r="N511" s="1">
        <v>2025</v>
      </c>
    </row>
    <row r="512" spans="1:14" x14ac:dyDescent="0.35">
      <c r="A512" s="1" t="str">
        <f>IF($B$509="Y",'[7]Population Definitions'!$A$15,"...")</f>
        <v>stunting_hm</v>
      </c>
      <c r="B512" s="4" t="str">
        <f>IF($B$509="Y","---&gt;","...")</f>
        <v>---&gt;</v>
      </c>
      <c r="C512" s="1" t="str">
        <f>IF($B$509="Y",'[7]Population Definitions'!$A$10,"...")</f>
        <v>oth_hm</v>
      </c>
      <c r="D512" t="s">
        <v>32</v>
      </c>
      <c r="E512" s="3" t="s">
        <v>118</v>
      </c>
      <c r="F512" s="3"/>
      <c r="G512" s="3">
        <v>1</v>
      </c>
      <c r="H512" s="4" t="str">
        <f>IF($B$509="Y","OR","...")</f>
        <v>OR</v>
      </c>
      <c r="I512" s="3"/>
      <c r="J512" s="3"/>
      <c r="K512" s="3"/>
      <c r="L512" s="3"/>
      <c r="M512" s="3"/>
      <c r="N512" s="3"/>
    </row>
    <row r="514" spans="1:14" x14ac:dyDescent="0.35">
      <c r="A514" s="1" t="s">
        <v>0</v>
      </c>
      <c r="B514" s="1" t="s">
        <v>1</v>
      </c>
      <c r="C514" s="1" t="s">
        <v>144</v>
      </c>
      <c r="D514" s="1" t="s">
        <v>145</v>
      </c>
    </row>
    <row r="515" spans="1:14" x14ac:dyDescent="0.35">
      <c r="A515" t="s">
        <v>169</v>
      </c>
      <c r="B515" t="s">
        <v>169</v>
      </c>
      <c r="C515" t="s">
        <v>19</v>
      </c>
      <c r="D515" t="s">
        <v>17</v>
      </c>
    </row>
    <row r="517" spans="1:14" x14ac:dyDescent="0.35">
      <c r="B517" s="1" t="str">
        <f>'[7]Population Definitions'!$A$11</f>
        <v>nsep_hm</v>
      </c>
    </row>
    <row r="518" spans="1:14" x14ac:dyDescent="0.35">
      <c r="A518" s="1" t="str">
        <f>'[7]Population Definitions'!$A$12</f>
        <v>pt_hm</v>
      </c>
      <c r="B518" s="5" t="s">
        <v>146</v>
      </c>
    </row>
    <row r="520" spans="1:14" x14ac:dyDescent="0.35">
      <c r="A520" s="1" t="s">
        <v>147</v>
      </c>
      <c r="B520" s="1"/>
      <c r="C520" s="1" t="s">
        <v>148</v>
      </c>
      <c r="D520" s="1" t="s">
        <v>28</v>
      </c>
      <c r="E520" s="1" t="s">
        <v>29</v>
      </c>
      <c r="F520" s="1" t="s">
        <v>30</v>
      </c>
      <c r="G520" s="1" t="s">
        <v>31</v>
      </c>
      <c r="H520" s="1"/>
      <c r="I520" s="1">
        <v>2020</v>
      </c>
      <c r="J520" s="1">
        <v>2021</v>
      </c>
      <c r="K520" s="1">
        <v>2022</v>
      </c>
      <c r="L520" s="1">
        <v>2023</v>
      </c>
      <c r="M520" s="1">
        <v>2024</v>
      </c>
      <c r="N520" s="1">
        <v>2025</v>
      </c>
    </row>
    <row r="521" spans="1:14" x14ac:dyDescent="0.35">
      <c r="A521" s="1" t="str">
        <f>IF($B$518="Y",'[7]Population Definitions'!$A$12,"...")</f>
        <v>pt_hm</v>
      </c>
      <c r="B521" s="4" t="str">
        <f>IF($B$518="Y","---&gt;","...")</f>
        <v>---&gt;</v>
      </c>
      <c r="C521" s="1" t="str">
        <f>IF($B$518="Y",'[7]Population Definitions'!$A$11,"...")</f>
        <v>nsep_hm</v>
      </c>
      <c r="D521" t="s">
        <v>32</v>
      </c>
      <c r="E521" s="3" t="s">
        <v>118</v>
      </c>
      <c r="F521" s="3"/>
      <c r="G521" s="3">
        <v>1</v>
      </c>
      <c r="H521" s="4" t="str">
        <f>IF($B$518="Y","OR","...")</f>
        <v>OR</v>
      </c>
      <c r="I521" s="3"/>
      <c r="J521" s="3"/>
      <c r="K521" s="3"/>
      <c r="L521" s="3"/>
      <c r="M521" s="3"/>
      <c r="N521" s="3"/>
    </row>
    <row r="523" spans="1:14" x14ac:dyDescent="0.35">
      <c r="A523" s="1" t="s">
        <v>0</v>
      </c>
      <c r="B523" s="1" t="s">
        <v>1</v>
      </c>
      <c r="C523" s="1" t="s">
        <v>144</v>
      </c>
      <c r="D523" s="1" t="s">
        <v>145</v>
      </c>
    </row>
    <row r="524" spans="1:14" x14ac:dyDescent="0.35">
      <c r="A524" t="s">
        <v>238</v>
      </c>
      <c r="B524" t="s">
        <v>238</v>
      </c>
      <c r="C524" t="s">
        <v>3</v>
      </c>
      <c r="D524" t="s">
        <v>17</v>
      </c>
    </row>
    <row r="526" spans="1:14" x14ac:dyDescent="0.35">
      <c r="B526" s="1" t="str">
        <f>'[7]Population Definitions'!$A$11</f>
        <v>nsep_hm</v>
      </c>
    </row>
    <row r="527" spans="1:14" x14ac:dyDescent="0.35">
      <c r="A527" s="1" t="str">
        <f>'[7]Population Definitions'!$A$2</f>
        <v>anc_hm</v>
      </c>
      <c r="B527" s="5" t="s">
        <v>146</v>
      </c>
    </row>
    <row r="529" spans="1:14" x14ac:dyDescent="0.35">
      <c r="A529" s="1" t="s">
        <v>147</v>
      </c>
      <c r="B529" s="1"/>
      <c r="C529" s="1" t="s">
        <v>148</v>
      </c>
      <c r="D529" s="1" t="s">
        <v>28</v>
      </c>
      <c r="E529" s="1" t="s">
        <v>29</v>
      </c>
      <c r="F529" s="1" t="s">
        <v>30</v>
      </c>
      <c r="G529" s="1" t="s">
        <v>31</v>
      </c>
      <c r="H529" s="1"/>
      <c r="I529" s="1">
        <v>2020</v>
      </c>
      <c r="J529" s="1">
        <v>2021</v>
      </c>
      <c r="K529" s="1">
        <v>2022</v>
      </c>
      <c r="L529" s="1">
        <v>2023</v>
      </c>
      <c r="M529" s="1">
        <v>2024</v>
      </c>
      <c r="N529" s="1">
        <v>2025</v>
      </c>
    </row>
    <row r="530" spans="1:14" x14ac:dyDescent="0.35">
      <c r="A530" s="1" t="str">
        <f>IF($B$527="Y",'[7]Population Definitions'!$A$2,"...")</f>
        <v>anc_hm</v>
      </c>
      <c r="B530" s="4" t="str">
        <f>IF($B$527="Y","---&gt;","...")</f>
        <v>---&gt;</v>
      </c>
      <c r="C530" s="1" t="str">
        <f>IF($B$527="Y",'[7]Population Definitions'!$A$11,"...")</f>
        <v>nsep_hm</v>
      </c>
      <c r="D530" t="s">
        <v>32</v>
      </c>
      <c r="E530" s="3" t="s">
        <v>118</v>
      </c>
      <c r="F530" s="3"/>
      <c r="G530" s="3">
        <v>1</v>
      </c>
      <c r="H530" s="4" t="str">
        <f>IF($B$527="Y","OR","...")</f>
        <v>OR</v>
      </c>
      <c r="I530" s="3"/>
      <c r="J530" s="3"/>
      <c r="K530" s="3"/>
      <c r="L530" s="3"/>
      <c r="M530" s="3"/>
      <c r="N530" s="3"/>
    </row>
    <row r="532" spans="1:14" x14ac:dyDescent="0.35">
      <c r="A532" s="1" t="s">
        <v>0</v>
      </c>
      <c r="B532" s="1" t="s">
        <v>1</v>
      </c>
      <c r="C532" s="1" t="s">
        <v>144</v>
      </c>
      <c r="D532" s="1" t="s">
        <v>145</v>
      </c>
    </row>
    <row r="533" spans="1:14" x14ac:dyDescent="0.35">
      <c r="A533" t="s">
        <v>167</v>
      </c>
      <c r="B533" t="s">
        <v>167</v>
      </c>
      <c r="C533" t="s">
        <v>5</v>
      </c>
      <c r="D533" t="s">
        <v>17</v>
      </c>
    </row>
    <row r="535" spans="1:14" x14ac:dyDescent="0.35">
      <c r="B535" s="1" t="str">
        <f>'[7]Population Definitions'!$A$11</f>
        <v>nsep_hm</v>
      </c>
    </row>
    <row r="536" spans="1:14" x14ac:dyDescent="0.35">
      <c r="A536" s="1" t="str">
        <f>'[7]Population Definitions'!$A$3</f>
        <v>asx_hm</v>
      </c>
      <c r="B536" s="5" t="s">
        <v>146</v>
      </c>
    </row>
    <row r="538" spans="1:14" x14ac:dyDescent="0.35">
      <c r="A538" s="1" t="s">
        <v>147</v>
      </c>
      <c r="B538" s="1"/>
      <c r="C538" s="1" t="s">
        <v>148</v>
      </c>
      <c r="D538" s="1" t="s">
        <v>28</v>
      </c>
      <c r="E538" s="1" t="s">
        <v>29</v>
      </c>
      <c r="F538" s="1" t="s">
        <v>30</v>
      </c>
      <c r="G538" s="1" t="s">
        <v>31</v>
      </c>
      <c r="H538" s="1"/>
      <c r="I538" s="1">
        <v>2020</v>
      </c>
      <c r="J538" s="1">
        <v>2021</v>
      </c>
      <c r="K538" s="1">
        <v>2022</v>
      </c>
      <c r="L538" s="1">
        <v>2023</v>
      </c>
      <c r="M538" s="1">
        <v>2024</v>
      </c>
      <c r="N538" s="1">
        <v>2025</v>
      </c>
    </row>
    <row r="539" spans="1:14" x14ac:dyDescent="0.35">
      <c r="A539" s="1" t="str">
        <f>IF($B$536="Y",'[7]Population Definitions'!$A$3,"...")</f>
        <v>asx_hm</v>
      </c>
      <c r="B539" s="4" t="str">
        <f>IF($B$536="Y","---&gt;","...")</f>
        <v>---&gt;</v>
      </c>
      <c r="C539" s="1" t="str">
        <f>IF($B$536="Y",'[7]Population Definitions'!$A$11,"...")</f>
        <v>nsep_hm</v>
      </c>
      <c r="D539" t="s">
        <v>32</v>
      </c>
      <c r="E539" s="3" t="s">
        <v>118</v>
      </c>
      <c r="F539" s="3"/>
      <c r="G539" s="3">
        <v>1</v>
      </c>
      <c r="H539" s="4" t="str">
        <f>IF($B$536="Y","OR","...")</f>
        <v>OR</v>
      </c>
      <c r="I539" s="3"/>
      <c r="J539" s="3"/>
      <c r="K539" s="3"/>
      <c r="L539" s="3"/>
      <c r="M539" s="3"/>
      <c r="N539" s="3"/>
    </row>
    <row r="541" spans="1:14" x14ac:dyDescent="0.35">
      <c r="A541" s="1" t="s">
        <v>0</v>
      </c>
      <c r="B541" s="1" t="s">
        <v>1</v>
      </c>
      <c r="C541" s="1" t="s">
        <v>144</v>
      </c>
      <c r="D541" s="1" t="s">
        <v>145</v>
      </c>
    </row>
    <row r="542" spans="1:14" x14ac:dyDescent="0.35">
      <c r="A542" t="s">
        <v>253</v>
      </c>
      <c r="B542" t="s">
        <v>253</v>
      </c>
      <c r="C542" t="s">
        <v>17</v>
      </c>
      <c r="D542" t="s">
        <v>17</v>
      </c>
    </row>
    <row r="544" spans="1:14" x14ac:dyDescent="0.35">
      <c r="B544" s="1" t="str">
        <f>'[7]Population Definitions'!$A$11</f>
        <v>nsep_hm</v>
      </c>
    </row>
    <row r="545" spans="1:14" x14ac:dyDescent="0.35">
      <c r="A545" s="1" t="str">
        <f>'[7]Population Definitions'!$A$11</f>
        <v>nsep_hm</v>
      </c>
      <c r="B545" s="5" t="s">
        <v>146</v>
      </c>
    </row>
    <row r="547" spans="1:14" x14ac:dyDescent="0.35">
      <c r="A547" s="1" t="s">
        <v>147</v>
      </c>
      <c r="B547" s="1"/>
      <c r="C547" s="1" t="s">
        <v>148</v>
      </c>
      <c r="D547" s="1" t="s">
        <v>28</v>
      </c>
      <c r="E547" s="1" t="s">
        <v>29</v>
      </c>
      <c r="F547" s="1" t="s">
        <v>30</v>
      </c>
      <c r="G547" s="1" t="s">
        <v>31</v>
      </c>
      <c r="H547" s="1"/>
      <c r="I547" s="1">
        <v>2020</v>
      </c>
      <c r="J547" s="1">
        <v>2021</v>
      </c>
      <c r="K547" s="1">
        <v>2022</v>
      </c>
      <c r="L547" s="1">
        <v>2023</v>
      </c>
      <c r="M547" s="1">
        <v>2024</v>
      </c>
      <c r="N547" s="1">
        <v>2025</v>
      </c>
    </row>
    <row r="548" spans="1:14" x14ac:dyDescent="0.35">
      <c r="A548" s="1" t="str">
        <f>IF($B$545="Y",'[7]Population Definitions'!$A$11,"...")</f>
        <v>nsep_hm</v>
      </c>
      <c r="B548" s="4" t="str">
        <f>IF($B$545="Y","---&gt;","...")</f>
        <v>---&gt;</v>
      </c>
      <c r="C548" s="1" t="str">
        <f>IF($B$545="Y",'[7]Population Definitions'!$A$11,"...")</f>
        <v>nsep_hm</v>
      </c>
      <c r="D548" t="s">
        <v>32</v>
      </c>
      <c r="E548" s="3" t="s">
        <v>118</v>
      </c>
      <c r="F548" s="3"/>
      <c r="G548" s="3">
        <v>1</v>
      </c>
      <c r="H548" s="4" t="str">
        <f>IF($B$545="Y","OR","...")</f>
        <v>OR</v>
      </c>
      <c r="I548" s="3"/>
      <c r="J548" s="3"/>
      <c r="K548" s="3"/>
      <c r="L548" s="3"/>
      <c r="M548" s="3"/>
      <c r="N548" s="3"/>
    </row>
    <row r="550" spans="1:14" x14ac:dyDescent="0.35">
      <c r="A550" s="1" t="s">
        <v>0</v>
      </c>
      <c r="B550" s="1" t="s">
        <v>1</v>
      </c>
      <c r="C550" s="1" t="s">
        <v>144</v>
      </c>
      <c r="D550" s="1" t="s">
        <v>145</v>
      </c>
    </row>
    <row r="551" spans="1:14" x14ac:dyDescent="0.35">
      <c r="A551" t="s">
        <v>254</v>
      </c>
      <c r="B551" t="s">
        <v>254</v>
      </c>
      <c r="C551" t="s">
        <v>15</v>
      </c>
      <c r="D551" t="s">
        <v>17</v>
      </c>
    </row>
    <row r="553" spans="1:14" x14ac:dyDescent="0.35">
      <c r="B553" s="1" t="str">
        <f>'[7]Population Definitions'!$A$11</f>
        <v>nsep_hm</v>
      </c>
    </row>
    <row r="554" spans="1:14" x14ac:dyDescent="0.35">
      <c r="A554" s="1" t="str">
        <f>'[7]Population Definitions'!$A$10</f>
        <v>oth_hm</v>
      </c>
      <c r="B554" s="5" t="s">
        <v>146</v>
      </c>
    </row>
    <row r="556" spans="1:14" x14ac:dyDescent="0.35">
      <c r="A556" s="1" t="s">
        <v>147</v>
      </c>
      <c r="B556" s="1"/>
      <c r="C556" s="1" t="s">
        <v>148</v>
      </c>
      <c r="D556" s="1" t="s">
        <v>28</v>
      </c>
      <c r="E556" s="1" t="s">
        <v>29</v>
      </c>
      <c r="F556" s="1" t="s">
        <v>30</v>
      </c>
      <c r="G556" s="1" t="s">
        <v>31</v>
      </c>
      <c r="H556" s="1"/>
      <c r="I556" s="1">
        <v>2020</v>
      </c>
      <c r="J556" s="1">
        <v>2021</v>
      </c>
      <c r="K556" s="1">
        <v>2022</v>
      </c>
      <c r="L556" s="1">
        <v>2023</v>
      </c>
      <c r="M556" s="1">
        <v>2024</v>
      </c>
      <c r="N556" s="1">
        <v>2025</v>
      </c>
    </row>
    <row r="557" spans="1:14" x14ac:dyDescent="0.35">
      <c r="A557" s="1" t="str">
        <f>IF($B$554="Y",'[7]Population Definitions'!$A$10,"...")</f>
        <v>oth_hm</v>
      </c>
      <c r="B557" s="4" t="str">
        <f>IF($B$554="Y","---&gt;","...")</f>
        <v>---&gt;</v>
      </c>
      <c r="C557" s="1" t="str">
        <f>IF($B$554="Y",'[7]Population Definitions'!$A$11,"...")</f>
        <v>nsep_hm</v>
      </c>
      <c r="D557" t="s">
        <v>32</v>
      </c>
      <c r="E557" s="3" t="s">
        <v>118</v>
      </c>
      <c r="F557" s="3"/>
      <c r="G557" s="3">
        <v>1</v>
      </c>
      <c r="H557" s="4" t="str">
        <f>IF($B$554="Y","OR","...")</f>
        <v>OR</v>
      </c>
      <c r="I557" s="3"/>
      <c r="J557" s="3"/>
      <c r="K557" s="3"/>
      <c r="L557" s="3"/>
      <c r="M557" s="3"/>
      <c r="N557" s="3"/>
    </row>
    <row r="559" spans="1:14" x14ac:dyDescent="0.35">
      <c r="A559" s="1" t="s">
        <v>0</v>
      </c>
      <c r="B559" s="1" t="s">
        <v>1</v>
      </c>
      <c r="C559" s="1" t="s">
        <v>144</v>
      </c>
      <c r="D559" s="1" t="s">
        <v>145</v>
      </c>
    </row>
    <row r="560" spans="1:14" x14ac:dyDescent="0.35">
      <c r="A560" t="s">
        <v>255</v>
      </c>
      <c r="B560" t="s">
        <v>255</v>
      </c>
      <c r="C560" t="s">
        <v>21</v>
      </c>
      <c r="D560" t="s">
        <v>17</v>
      </c>
    </row>
    <row r="562" spans="1:14" x14ac:dyDescent="0.35">
      <c r="B562" s="1" t="str">
        <f>'[7]Population Definitions'!$A$11</f>
        <v>nsep_hm</v>
      </c>
    </row>
    <row r="563" spans="1:14" x14ac:dyDescent="0.35">
      <c r="A563" s="1" t="str">
        <f>'[7]Population Definitions'!$A$13</f>
        <v>rds_hm</v>
      </c>
      <c r="B563" s="5" t="s">
        <v>146</v>
      </c>
    </row>
    <row r="565" spans="1:14" x14ac:dyDescent="0.35">
      <c r="A565" s="1" t="s">
        <v>147</v>
      </c>
      <c r="B565" s="1"/>
      <c r="C565" s="1" t="s">
        <v>148</v>
      </c>
      <c r="D565" s="1" t="s">
        <v>28</v>
      </c>
      <c r="E565" s="1" t="s">
        <v>29</v>
      </c>
      <c r="F565" s="1" t="s">
        <v>30</v>
      </c>
      <c r="G565" s="1" t="s">
        <v>31</v>
      </c>
      <c r="H565" s="1"/>
      <c r="I565" s="1">
        <v>2020</v>
      </c>
      <c r="J565" s="1">
        <v>2021</v>
      </c>
      <c r="K565" s="1">
        <v>2022</v>
      </c>
      <c r="L565" s="1">
        <v>2023</v>
      </c>
      <c r="M565" s="1">
        <v>2024</v>
      </c>
      <c r="N565" s="1">
        <v>2025</v>
      </c>
    </row>
    <row r="566" spans="1:14" x14ac:dyDescent="0.35">
      <c r="A566" s="1" t="str">
        <f>IF($B$563="Y",'[7]Population Definitions'!$A$13,"...")</f>
        <v>rds_hm</v>
      </c>
      <c r="B566" s="4" t="str">
        <f>IF($B$563="Y","---&gt;","...")</f>
        <v>---&gt;</v>
      </c>
      <c r="C566" s="1" t="str">
        <f>IF($B$563="Y",'[7]Population Definitions'!$A$11,"...")</f>
        <v>nsep_hm</v>
      </c>
      <c r="D566" t="s">
        <v>32</v>
      </c>
      <c r="E566" s="3" t="s">
        <v>118</v>
      </c>
      <c r="F566" s="3"/>
      <c r="G566" s="3">
        <v>1</v>
      </c>
      <c r="H566" s="4" t="str">
        <f>IF($B$563="Y","OR","...")</f>
        <v>OR</v>
      </c>
      <c r="I566" s="3"/>
      <c r="J566" s="3"/>
      <c r="K566" s="3"/>
      <c r="L566" s="3"/>
      <c r="M566" s="3"/>
      <c r="N566" s="3"/>
    </row>
    <row r="568" spans="1:14" x14ac:dyDescent="0.35">
      <c r="A568" s="1" t="s">
        <v>0</v>
      </c>
      <c r="B568" s="1" t="s">
        <v>1</v>
      </c>
      <c r="C568" s="1" t="s">
        <v>144</v>
      </c>
      <c r="D568" s="1" t="s">
        <v>145</v>
      </c>
    </row>
    <row r="569" spans="1:14" x14ac:dyDescent="0.35">
      <c r="A569" t="s">
        <v>256</v>
      </c>
      <c r="B569" t="s">
        <v>256</v>
      </c>
      <c r="C569" t="s">
        <v>25</v>
      </c>
      <c r="D569" t="s">
        <v>17</v>
      </c>
    </row>
    <row r="571" spans="1:14" x14ac:dyDescent="0.35">
      <c r="B571" s="1" t="str">
        <f>'[7]Population Definitions'!$A$11</f>
        <v>nsep_hm</v>
      </c>
    </row>
    <row r="572" spans="1:14" x14ac:dyDescent="0.35">
      <c r="A572" s="1" t="str">
        <f>'[7]Population Definitions'!$A$15</f>
        <v>stunting_hm</v>
      </c>
      <c r="B572" s="5" t="s">
        <v>146</v>
      </c>
    </row>
    <row r="574" spans="1:14" x14ac:dyDescent="0.35">
      <c r="A574" s="1" t="s">
        <v>147</v>
      </c>
      <c r="B574" s="1"/>
      <c r="C574" s="1" t="s">
        <v>148</v>
      </c>
      <c r="D574" s="1" t="s">
        <v>28</v>
      </c>
      <c r="E574" s="1" t="s">
        <v>29</v>
      </c>
      <c r="F574" s="1" t="s">
        <v>30</v>
      </c>
      <c r="G574" s="1" t="s">
        <v>31</v>
      </c>
      <c r="H574" s="1"/>
      <c r="I574" s="1">
        <v>2020</v>
      </c>
      <c r="J574" s="1">
        <v>2021</v>
      </c>
      <c r="K574" s="1">
        <v>2022</v>
      </c>
      <c r="L574" s="1">
        <v>2023</v>
      </c>
      <c r="M574" s="1">
        <v>2024</v>
      </c>
      <c r="N574" s="1">
        <v>2025</v>
      </c>
    </row>
    <row r="575" spans="1:14" x14ac:dyDescent="0.35">
      <c r="A575" s="1" t="str">
        <f>IF($B$572="Y",'[7]Population Definitions'!$A$15,"...")</f>
        <v>stunting_hm</v>
      </c>
      <c r="B575" s="4" t="str">
        <f>IF($B$572="Y","---&gt;","...")</f>
        <v>---&gt;</v>
      </c>
      <c r="C575" s="1" t="str">
        <f>IF($B$572="Y",'[7]Population Definitions'!$A$11,"...")</f>
        <v>nsep_hm</v>
      </c>
      <c r="D575" t="s">
        <v>32</v>
      </c>
      <c r="E575" s="3" t="s">
        <v>118</v>
      </c>
      <c r="F575" s="3"/>
      <c r="G575" s="3">
        <v>1</v>
      </c>
      <c r="H575" s="4" t="str">
        <f>IF($B$572="Y","OR","...")</f>
        <v>OR</v>
      </c>
      <c r="I575" s="3"/>
      <c r="J575" s="3"/>
      <c r="K575" s="3"/>
      <c r="L575" s="3"/>
      <c r="M575" s="3"/>
      <c r="N575" s="3"/>
    </row>
    <row r="577" spans="1:14" x14ac:dyDescent="0.35">
      <c r="A577" s="1" t="s">
        <v>0</v>
      </c>
      <c r="B577" s="1" t="s">
        <v>1</v>
      </c>
      <c r="C577" s="1" t="s">
        <v>144</v>
      </c>
      <c r="D577" s="1" t="s">
        <v>145</v>
      </c>
    </row>
    <row r="578" spans="1:14" x14ac:dyDescent="0.35">
      <c r="A578" t="s">
        <v>168</v>
      </c>
      <c r="B578" t="s">
        <v>168</v>
      </c>
      <c r="C578" t="s">
        <v>11</v>
      </c>
      <c r="D578" t="s">
        <v>17</v>
      </c>
    </row>
    <row r="580" spans="1:14" x14ac:dyDescent="0.35">
      <c r="B580" s="1" t="str">
        <f>'[7]Population Definitions'!$A$11</f>
        <v>nsep_hm</v>
      </c>
    </row>
    <row r="581" spans="1:14" x14ac:dyDescent="0.35">
      <c r="A581" s="1" t="str">
        <f>'[7]Population Definitions'!$A$6</f>
        <v>msep_hm</v>
      </c>
      <c r="B581" s="5" t="s">
        <v>146</v>
      </c>
    </row>
    <row r="583" spans="1:14" x14ac:dyDescent="0.35">
      <c r="A583" s="1" t="s">
        <v>147</v>
      </c>
      <c r="B583" s="1"/>
      <c r="C583" s="1" t="s">
        <v>148</v>
      </c>
      <c r="D583" s="1" t="s">
        <v>28</v>
      </c>
      <c r="E583" s="1" t="s">
        <v>29</v>
      </c>
      <c r="F583" s="1" t="s">
        <v>30</v>
      </c>
      <c r="G583" s="1" t="s">
        <v>31</v>
      </c>
      <c r="H583" s="1"/>
      <c r="I583" s="1">
        <v>2020</v>
      </c>
      <c r="J583" s="1">
        <v>2021</v>
      </c>
      <c r="K583" s="1">
        <v>2022</v>
      </c>
      <c r="L583" s="1">
        <v>2023</v>
      </c>
      <c r="M583" s="1">
        <v>2024</v>
      </c>
      <c r="N583" s="1">
        <v>2025</v>
      </c>
    </row>
    <row r="584" spans="1:14" x14ac:dyDescent="0.35">
      <c r="A584" s="1" t="str">
        <f>IF($B$581="Y",'[7]Population Definitions'!$A$6,"...")</f>
        <v>msep_hm</v>
      </c>
      <c r="B584" s="4" t="str">
        <f>IF($B$581="Y","---&gt;","...")</f>
        <v>---&gt;</v>
      </c>
      <c r="C584" s="1" t="str">
        <f>IF($B$581="Y",'[7]Population Definitions'!$A$11,"...")</f>
        <v>nsep_hm</v>
      </c>
      <c r="D584" t="s">
        <v>32</v>
      </c>
      <c r="E584" s="3" t="s">
        <v>118</v>
      </c>
      <c r="F584" s="3"/>
      <c r="G584" s="3">
        <v>1</v>
      </c>
      <c r="H584" s="4" t="str">
        <f>IF($B$581="Y","OR","...")</f>
        <v>OR</v>
      </c>
      <c r="I584" s="3"/>
      <c r="J584" s="3"/>
      <c r="K584" s="3"/>
      <c r="L584" s="3"/>
      <c r="M584" s="3"/>
      <c r="N584" s="3"/>
    </row>
    <row r="586" spans="1:14" x14ac:dyDescent="0.35">
      <c r="A586" s="1" t="s">
        <v>0</v>
      </c>
      <c r="B586" s="1" t="s">
        <v>1</v>
      </c>
      <c r="C586" s="1" t="s">
        <v>144</v>
      </c>
      <c r="D586" s="1" t="s">
        <v>145</v>
      </c>
    </row>
    <row r="587" spans="1:14" x14ac:dyDescent="0.35">
      <c r="A587" t="s">
        <v>170</v>
      </c>
      <c r="B587" t="s">
        <v>170</v>
      </c>
      <c r="C587" t="s">
        <v>3</v>
      </c>
      <c r="D587" t="s">
        <v>19</v>
      </c>
    </row>
    <row r="589" spans="1:14" x14ac:dyDescent="0.35">
      <c r="B589" s="1" t="str">
        <f>'[7]Population Definitions'!$A$12</f>
        <v>pt_hm</v>
      </c>
    </row>
    <row r="590" spans="1:14" x14ac:dyDescent="0.35">
      <c r="A590" s="1" t="str">
        <f>'[7]Population Definitions'!$A$2</f>
        <v>anc_hm</v>
      </c>
      <c r="B590" s="5" t="s">
        <v>146</v>
      </c>
    </row>
    <row r="592" spans="1:14" x14ac:dyDescent="0.35">
      <c r="A592" s="1" t="s">
        <v>147</v>
      </c>
      <c r="B592" s="1"/>
      <c r="C592" s="1" t="s">
        <v>148</v>
      </c>
      <c r="D592" s="1" t="s">
        <v>28</v>
      </c>
      <c r="E592" s="1" t="s">
        <v>29</v>
      </c>
      <c r="F592" s="1" t="s">
        <v>30</v>
      </c>
      <c r="G592" s="1" t="s">
        <v>31</v>
      </c>
      <c r="H592" s="1"/>
      <c r="I592" s="1">
        <v>2020</v>
      </c>
      <c r="J592" s="1">
        <v>2021</v>
      </c>
      <c r="K592" s="1">
        <v>2022</v>
      </c>
      <c r="L592" s="1">
        <v>2023</v>
      </c>
      <c r="M592" s="1">
        <v>2024</v>
      </c>
      <c r="N592" s="1">
        <v>2025</v>
      </c>
    </row>
    <row r="593" spans="1:14" x14ac:dyDescent="0.35">
      <c r="A593" s="1" t="str">
        <f>IF($B$590="Y",'[7]Population Definitions'!$A$2,"...")</f>
        <v>anc_hm</v>
      </c>
      <c r="B593" s="4" t="str">
        <f>IF($B$590="Y","---&gt;","...")</f>
        <v>---&gt;</v>
      </c>
      <c r="C593" s="1" t="str">
        <f>IF($B$590="Y",'[7]Population Definitions'!$A$12,"...")</f>
        <v>pt_hm</v>
      </c>
      <c r="D593" t="s">
        <v>32</v>
      </c>
      <c r="E593" s="3" t="s">
        <v>118</v>
      </c>
      <c r="F593" s="3"/>
      <c r="G593" s="3">
        <v>1</v>
      </c>
      <c r="H593" s="4" t="str">
        <f>IF($B$590="Y","OR","...")</f>
        <v>OR</v>
      </c>
      <c r="I593" s="3"/>
      <c r="J593" s="3"/>
      <c r="K593" s="3"/>
      <c r="L593" s="3"/>
      <c r="M593" s="3"/>
      <c r="N593" s="3"/>
    </row>
    <row r="595" spans="1:14" x14ac:dyDescent="0.35">
      <c r="A595" s="1" t="s">
        <v>0</v>
      </c>
      <c r="B595" s="1" t="s">
        <v>1</v>
      </c>
      <c r="C595" s="1" t="s">
        <v>144</v>
      </c>
      <c r="D595" s="1" t="s">
        <v>145</v>
      </c>
    </row>
    <row r="596" spans="1:14" x14ac:dyDescent="0.35">
      <c r="A596" t="s">
        <v>172</v>
      </c>
      <c r="B596" t="s">
        <v>172</v>
      </c>
      <c r="C596" t="s">
        <v>13</v>
      </c>
      <c r="D596" t="s">
        <v>19</v>
      </c>
    </row>
    <row r="598" spans="1:14" x14ac:dyDescent="0.35">
      <c r="B598" s="1" t="str">
        <f>'[7]Population Definitions'!$A$12</f>
        <v>pt_hm</v>
      </c>
    </row>
    <row r="599" spans="1:14" x14ac:dyDescent="0.35">
      <c r="A599" s="1" t="str">
        <f>'[7]Population Definitions'!$A$9</f>
        <v>ol_hm</v>
      </c>
      <c r="B599" s="5" t="s">
        <v>146</v>
      </c>
    </row>
    <row r="601" spans="1:14" x14ac:dyDescent="0.35">
      <c r="A601" s="1" t="s">
        <v>147</v>
      </c>
      <c r="B601" s="1"/>
      <c r="C601" s="1" t="s">
        <v>148</v>
      </c>
      <c r="D601" s="1" t="s">
        <v>28</v>
      </c>
      <c r="E601" s="1" t="s">
        <v>29</v>
      </c>
      <c r="F601" s="1" t="s">
        <v>30</v>
      </c>
      <c r="G601" s="1" t="s">
        <v>31</v>
      </c>
      <c r="H601" s="1"/>
      <c r="I601" s="1">
        <v>2020</v>
      </c>
      <c r="J601" s="1">
        <v>2021</v>
      </c>
      <c r="K601" s="1">
        <v>2022</v>
      </c>
      <c r="L601" s="1">
        <v>2023</v>
      </c>
      <c r="M601" s="1">
        <v>2024</v>
      </c>
      <c r="N601" s="1">
        <v>2025</v>
      </c>
    </row>
    <row r="602" spans="1:14" x14ac:dyDescent="0.35">
      <c r="A602" s="1" t="str">
        <f>IF($B$599="Y",'[7]Population Definitions'!$A$9,"...")</f>
        <v>ol_hm</v>
      </c>
      <c r="B602" s="4" t="str">
        <f>IF($B$599="Y","---&gt;","...")</f>
        <v>---&gt;</v>
      </c>
      <c r="C602" s="1" t="str">
        <f>IF($B$599="Y",'[7]Population Definitions'!$A$12,"...")</f>
        <v>pt_hm</v>
      </c>
      <c r="D602" t="s">
        <v>32</v>
      </c>
      <c r="E602" s="3" t="s">
        <v>118</v>
      </c>
      <c r="F602" s="3"/>
      <c r="G602" s="3">
        <v>1</v>
      </c>
      <c r="H602" s="4" t="str">
        <f>IF($B$599="Y","OR","...")</f>
        <v>OR</v>
      </c>
      <c r="I602" s="3"/>
      <c r="J602" s="3"/>
      <c r="K602" s="3"/>
      <c r="L602" s="3"/>
      <c r="M602" s="3"/>
      <c r="N602" s="3"/>
    </row>
    <row r="604" spans="1:14" x14ac:dyDescent="0.35">
      <c r="A604" s="1" t="s">
        <v>0</v>
      </c>
      <c r="B604" s="1" t="s">
        <v>1</v>
      </c>
      <c r="C604" s="1" t="s">
        <v>144</v>
      </c>
      <c r="D604" s="1" t="s">
        <v>145</v>
      </c>
    </row>
    <row r="605" spans="1:14" x14ac:dyDescent="0.35">
      <c r="A605" t="s">
        <v>171</v>
      </c>
      <c r="B605" t="s">
        <v>171</v>
      </c>
      <c r="C605" t="s">
        <v>9</v>
      </c>
      <c r="D605" t="s">
        <v>19</v>
      </c>
    </row>
    <row r="607" spans="1:14" x14ac:dyDescent="0.35">
      <c r="B607" s="1" t="str">
        <f>'[7]Population Definitions'!$A$12</f>
        <v>pt_hm</v>
      </c>
    </row>
    <row r="608" spans="1:14" x14ac:dyDescent="0.35">
      <c r="A608" s="1" t="str">
        <f>'[7]Population Definitions'!$A$5</f>
        <v>hm_hm</v>
      </c>
      <c r="B608" s="5" t="s">
        <v>146</v>
      </c>
    </row>
    <row r="610" spans="1:14" x14ac:dyDescent="0.35">
      <c r="A610" s="1" t="s">
        <v>147</v>
      </c>
      <c r="B610" s="1"/>
      <c r="C610" s="1" t="s">
        <v>148</v>
      </c>
      <c r="D610" s="1" t="s">
        <v>28</v>
      </c>
      <c r="E610" s="1" t="s">
        <v>29</v>
      </c>
      <c r="F610" s="1" t="s">
        <v>30</v>
      </c>
      <c r="G610" s="1" t="s">
        <v>31</v>
      </c>
      <c r="H610" s="1"/>
      <c r="I610" s="1">
        <v>2020</v>
      </c>
      <c r="J610" s="1">
        <v>2021</v>
      </c>
      <c r="K610" s="1">
        <v>2022</v>
      </c>
      <c r="L610" s="1">
        <v>2023</v>
      </c>
      <c r="M610" s="1">
        <v>2024</v>
      </c>
      <c r="N610" s="1">
        <v>2025</v>
      </c>
    </row>
    <row r="611" spans="1:14" x14ac:dyDescent="0.35">
      <c r="A611" s="1" t="str">
        <f>IF($B$608="Y",'[7]Population Definitions'!$A$5,"...")</f>
        <v>hm_hm</v>
      </c>
      <c r="B611" s="4" t="str">
        <f>IF($B$608="Y","---&gt;","...")</f>
        <v>---&gt;</v>
      </c>
      <c r="C611" s="1" t="str">
        <f>IF($B$608="Y",'[7]Population Definitions'!$A$12,"...")</f>
        <v>pt_hm</v>
      </c>
      <c r="D611" t="s">
        <v>32</v>
      </c>
      <c r="E611" s="3" t="s">
        <v>118</v>
      </c>
      <c r="F611" s="3"/>
      <c r="G611" s="3">
        <v>1</v>
      </c>
      <c r="H611" s="4" t="str">
        <f>IF($B$608="Y","OR","...")</f>
        <v>OR</v>
      </c>
      <c r="I611" s="3"/>
      <c r="J611" s="3"/>
      <c r="K611" s="3"/>
      <c r="L611" s="3"/>
      <c r="M611" s="3"/>
      <c r="N611" s="3"/>
    </row>
    <row r="613" spans="1:14" x14ac:dyDescent="0.35">
      <c r="A613" s="1" t="s">
        <v>0</v>
      </c>
      <c r="B613" s="1" t="s">
        <v>1</v>
      </c>
      <c r="C613" s="1" t="s">
        <v>144</v>
      </c>
      <c r="D613" s="1" t="s">
        <v>145</v>
      </c>
    </row>
    <row r="614" spans="1:14" x14ac:dyDescent="0.35">
      <c r="A614" t="s">
        <v>174</v>
      </c>
      <c r="B614" t="s">
        <v>174</v>
      </c>
      <c r="C614" t="s">
        <v>11</v>
      </c>
      <c r="D614" t="s">
        <v>19</v>
      </c>
    </row>
    <row r="616" spans="1:14" x14ac:dyDescent="0.35">
      <c r="B616" s="1" t="str">
        <f>'[7]Population Definitions'!$A$12</f>
        <v>pt_hm</v>
      </c>
    </row>
    <row r="617" spans="1:14" x14ac:dyDescent="0.35">
      <c r="A617" s="1" t="str">
        <f>'[7]Population Definitions'!$A$6</f>
        <v>msep_hm</v>
      </c>
      <c r="B617" s="5" t="s">
        <v>146</v>
      </c>
    </row>
    <row r="619" spans="1:14" x14ac:dyDescent="0.35">
      <c r="A619" s="1" t="s">
        <v>147</v>
      </c>
      <c r="B619" s="1"/>
      <c r="C619" s="1" t="s">
        <v>148</v>
      </c>
      <c r="D619" s="1" t="s">
        <v>28</v>
      </c>
      <c r="E619" s="1" t="s">
        <v>29</v>
      </c>
      <c r="F619" s="1" t="s">
        <v>30</v>
      </c>
      <c r="G619" s="1" t="s">
        <v>31</v>
      </c>
      <c r="H619" s="1"/>
      <c r="I619" s="1">
        <v>2020</v>
      </c>
      <c r="J619" s="1">
        <v>2021</v>
      </c>
      <c r="K619" s="1">
        <v>2022</v>
      </c>
      <c r="L619" s="1">
        <v>2023</v>
      </c>
      <c r="M619" s="1">
        <v>2024</v>
      </c>
      <c r="N619" s="1">
        <v>2025</v>
      </c>
    </row>
    <row r="620" spans="1:14" x14ac:dyDescent="0.35">
      <c r="A620" s="1" t="str">
        <f>IF($B$617="Y",'[7]Population Definitions'!$A$6,"...")</f>
        <v>msep_hm</v>
      </c>
      <c r="B620" s="4" t="str">
        <f>IF($B$617="Y","---&gt;","...")</f>
        <v>---&gt;</v>
      </c>
      <c r="C620" s="1" t="str">
        <f>IF($B$617="Y",'[7]Population Definitions'!$A$12,"...")</f>
        <v>pt_hm</v>
      </c>
      <c r="D620" t="s">
        <v>32</v>
      </c>
      <c r="E620" s="3" t="s">
        <v>118</v>
      </c>
      <c r="F620" s="3"/>
      <c r="G620" s="3">
        <v>1</v>
      </c>
      <c r="H620" s="4" t="str">
        <f>IF($B$617="Y","OR","...")</f>
        <v>OR</v>
      </c>
      <c r="I620" s="3"/>
      <c r="J620" s="3"/>
      <c r="K620" s="3"/>
      <c r="L620" s="3"/>
      <c r="M620" s="3"/>
      <c r="N620" s="3"/>
    </row>
    <row r="622" spans="1:14" x14ac:dyDescent="0.35">
      <c r="A622" s="1" t="s">
        <v>0</v>
      </c>
      <c r="B622" s="1" t="s">
        <v>1</v>
      </c>
      <c r="C622" s="1" t="s">
        <v>144</v>
      </c>
      <c r="D622" s="1" t="s">
        <v>145</v>
      </c>
    </row>
    <row r="623" spans="1:14" x14ac:dyDescent="0.35">
      <c r="A623" t="s">
        <v>182</v>
      </c>
      <c r="B623" t="s">
        <v>182</v>
      </c>
      <c r="C623" t="s">
        <v>7</v>
      </c>
      <c r="D623" t="s">
        <v>19</v>
      </c>
    </row>
    <row r="625" spans="1:14" x14ac:dyDescent="0.35">
      <c r="B625" s="1" t="str">
        <f>'[7]Population Definitions'!$A$12</f>
        <v>pt_hm</v>
      </c>
    </row>
    <row r="626" spans="1:14" x14ac:dyDescent="0.35">
      <c r="A626" s="1" t="str">
        <f>'[7]Population Definitions'!$A$4</f>
        <v>an_hm</v>
      </c>
      <c r="B626" s="5" t="s">
        <v>146</v>
      </c>
    </row>
    <row r="628" spans="1:14" x14ac:dyDescent="0.35">
      <c r="A628" s="1" t="s">
        <v>147</v>
      </c>
      <c r="B628" s="1"/>
      <c r="C628" s="1" t="s">
        <v>148</v>
      </c>
      <c r="D628" s="1" t="s">
        <v>28</v>
      </c>
      <c r="E628" s="1" t="s">
        <v>29</v>
      </c>
      <c r="F628" s="1" t="s">
        <v>30</v>
      </c>
      <c r="G628" s="1" t="s">
        <v>31</v>
      </c>
      <c r="H628" s="1"/>
      <c r="I628" s="1">
        <v>2020</v>
      </c>
      <c r="J628" s="1">
        <v>2021</v>
      </c>
      <c r="K628" s="1">
        <v>2022</v>
      </c>
      <c r="L628" s="1">
        <v>2023</v>
      </c>
      <c r="M628" s="1">
        <v>2024</v>
      </c>
      <c r="N628" s="1">
        <v>2025</v>
      </c>
    </row>
    <row r="629" spans="1:14" x14ac:dyDescent="0.35">
      <c r="A629" s="1" t="str">
        <f>IF($B$626="Y",'[7]Population Definitions'!$A$4,"...")</f>
        <v>an_hm</v>
      </c>
      <c r="B629" s="4" t="str">
        <f>IF($B$626="Y","---&gt;","...")</f>
        <v>---&gt;</v>
      </c>
      <c r="C629" s="1" t="str">
        <f>IF($B$626="Y",'[7]Population Definitions'!$A$12,"...")</f>
        <v>pt_hm</v>
      </c>
      <c r="D629" t="s">
        <v>32</v>
      </c>
      <c r="E629" s="3" t="s">
        <v>118</v>
      </c>
      <c r="F629" s="3"/>
      <c r="G629" s="3">
        <v>1</v>
      </c>
      <c r="H629" s="4" t="str">
        <f>IF($B$626="Y","OR","...")</f>
        <v>OR</v>
      </c>
      <c r="I629" s="3"/>
      <c r="J629" s="3"/>
      <c r="K629" s="3"/>
      <c r="L629" s="3"/>
      <c r="M629" s="3"/>
      <c r="N629" s="3"/>
    </row>
    <row r="631" spans="1:14" x14ac:dyDescent="0.35">
      <c r="A631" s="1" t="s">
        <v>0</v>
      </c>
      <c r="B631" s="1" t="s">
        <v>1</v>
      </c>
      <c r="C631" s="1" t="s">
        <v>144</v>
      </c>
      <c r="D631" s="1" t="s">
        <v>145</v>
      </c>
    </row>
    <row r="632" spans="1:14" x14ac:dyDescent="0.35">
      <c r="A632" t="s">
        <v>347</v>
      </c>
      <c r="B632" t="s">
        <v>347</v>
      </c>
      <c r="C632" t="s">
        <v>333</v>
      </c>
      <c r="D632" t="s">
        <v>19</v>
      </c>
    </row>
    <row r="634" spans="1:14" x14ac:dyDescent="0.35">
      <c r="B634" s="1" t="str">
        <f>'[7]Population Definitions'!$A$12</f>
        <v>pt_hm</v>
      </c>
    </row>
    <row r="635" spans="1:14" x14ac:dyDescent="0.35">
      <c r="A635" s="1" t="str">
        <f>'[7]Population Definitions'!$A$8</f>
        <v>mnut_hm</v>
      </c>
      <c r="B635" s="5" t="s">
        <v>146</v>
      </c>
    </row>
    <row r="637" spans="1:14" x14ac:dyDescent="0.35">
      <c r="A637" s="1" t="s">
        <v>147</v>
      </c>
      <c r="B637" s="1"/>
      <c r="C637" s="1" t="s">
        <v>148</v>
      </c>
      <c r="D637" s="1" t="s">
        <v>28</v>
      </c>
      <c r="E637" s="1" t="s">
        <v>29</v>
      </c>
      <c r="F637" s="1" t="s">
        <v>30</v>
      </c>
      <c r="G637" s="1" t="s">
        <v>31</v>
      </c>
      <c r="H637" s="1"/>
      <c r="I637" s="1">
        <v>2020</v>
      </c>
      <c r="J637" s="1">
        <v>2021</v>
      </c>
      <c r="K637" s="1">
        <v>2022</v>
      </c>
      <c r="L637" s="1">
        <v>2023</v>
      </c>
      <c r="M637" s="1">
        <v>2024</v>
      </c>
      <c r="N637" s="1">
        <v>2025</v>
      </c>
    </row>
    <row r="638" spans="1:14" x14ac:dyDescent="0.35">
      <c r="A638" s="1" t="str">
        <f>IF($B$635="Y",'[7]Population Definitions'!$A$8,"...")</f>
        <v>mnut_hm</v>
      </c>
      <c r="B638" s="4" t="str">
        <f>IF($B$635="Y","---&gt;","...")</f>
        <v>---&gt;</v>
      </c>
      <c r="C638" s="1" t="str">
        <f>IF($B$635="Y",'[7]Population Definitions'!$A$12,"...")</f>
        <v>pt_hm</v>
      </c>
      <c r="D638" t="s">
        <v>32</v>
      </c>
      <c r="E638" s="3" t="s">
        <v>118</v>
      </c>
      <c r="F638" s="3"/>
      <c r="G638" s="3">
        <v>1</v>
      </c>
      <c r="H638" s="4" t="str">
        <f>IF($B$635="Y","OR","...")</f>
        <v>OR</v>
      </c>
      <c r="I638" s="3"/>
      <c r="J638" s="3"/>
      <c r="K638" s="3"/>
      <c r="L638" s="3"/>
      <c r="M638" s="3"/>
      <c r="N638" s="3"/>
    </row>
    <row r="640" spans="1:14" x14ac:dyDescent="0.35">
      <c r="A640" s="1" t="s">
        <v>0</v>
      </c>
      <c r="B640" s="1" t="s">
        <v>1</v>
      </c>
      <c r="C640" s="1" t="s">
        <v>144</v>
      </c>
      <c r="D640" s="1" t="s">
        <v>145</v>
      </c>
    </row>
    <row r="641" spans="1:14" x14ac:dyDescent="0.35">
      <c r="A641" t="s">
        <v>348</v>
      </c>
      <c r="B641" t="s">
        <v>348</v>
      </c>
      <c r="C641" t="s">
        <v>335</v>
      </c>
      <c r="D641" t="s">
        <v>19</v>
      </c>
    </row>
    <row r="643" spans="1:14" x14ac:dyDescent="0.35">
      <c r="B643" s="1" t="str">
        <f>'[7]Population Definitions'!$A$12</f>
        <v>pt_hm</v>
      </c>
    </row>
    <row r="644" spans="1:14" x14ac:dyDescent="0.35">
      <c r="A644" s="1" t="str">
        <f>'[7]Population Definitions'!$A$7</f>
        <v>preecl_hm</v>
      </c>
      <c r="B644" s="5" t="s">
        <v>146</v>
      </c>
    </row>
    <row r="646" spans="1:14" x14ac:dyDescent="0.35">
      <c r="A646" s="1" t="s">
        <v>147</v>
      </c>
      <c r="B646" s="1"/>
      <c r="C646" s="1" t="s">
        <v>148</v>
      </c>
      <c r="D646" s="1" t="s">
        <v>28</v>
      </c>
      <c r="E646" s="1" t="s">
        <v>29</v>
      </c>
      <c r="F646" s="1" t="s">
        <v>30</v>
      </c>
      <c r="G646" s="1" t="s">
        <v>31</v>
      </c>
      <c r="H646" s="1"/>
      <c r="I646" s="1">
        <v>2020</v>
      </c>
      <c r="J646" s="1">
        <v>2021</v>
      </c>
      <c r="K646" s="1">
        <v>2022</v>
      </c>
      <c r="L646" s="1">
        <v>2023</v>
      </c>
      <c r="M646" s="1">
        <v>2024</v>
      </c>
      <c r="N646" s="1">
        <v>2025</v>
      </c>
    </row>
    <row r="647" spans="1:14" x14ac:dyDescent="0.35">
      <c r="A647" s="1" t="str">
        <f>IF($B$644="Y",'[7]Population Definitions'!$A$7,"...")</f>
        <v>preecl_hm</v>
      </c>
      <c r="B647" s="4" t="str">
        <f>IF($B$644="Y","---&gt;","...")</f>
        <v>---&gt;</v>
      </c>
      <c r="C647" s="1" t="str">
        <f>IF($B$644="Y",'[7]Population Definitions'!$A$12,"...")</f>
        <v>pt_hm</v>
      </c>
      <c r="D647" t="s">
        <v>32</v>
      </c>
      <c r="E647" s="3" t="s">
        <v>118</v>
      </c>
      <c r="F647" s="3"/>
      <c r="G647" s="3">
        <v>1</v>
      </c>
      <c r="H647" s="4" t="str">
        <f>IF($B$644="Y","OR","...")</f>
        <v>OR</v>
      </c>
      <c r="I647" s="3"/>
      <c r="J647" s="3"/>
      <c r="K647" s="3"/>
      <c r="L647" s="3"/>
      <c r="M647" s="3"/>
      <c r="N647" s="3"/>
    </row>
    <row r="649" spans="1:14" x14ac:dyDescent="0.35">
      <c r="A649" s="1" t="s">
        <v>0</v>
      </c>
      <c r="B649" s="1" t="s">
        <v>1</v>
      </c>
      <c r="C649" s="1" t="s">
        <v>144</v>
      </c>
      <c r="D649" s="1" t="s">
        <v>145</v>
      </c>
    </row>
    <row r="650" spans="1:14" x14ac:dyDescent="0.35">
      <c r="A650" t="s">
        <v>173</v>
      </c>
      <c r="B650" t="s">
        <v>173</v>
      </c>
      <c r="C650" t="s">
        <v>19</v>
      </c>
      <c r="D650" t="s">
        <v>19</v>
      </c>
    </row>
    <row r="652" spans="1:14" x14ac:dyDescent="0.35">
      <c r="B652" s="1" t="str">
        <f>'[7]Population Definitions'!$A$12</f>
        <v>pt_hm</v>
      </c>
    </row>
    <row r="653" spans="1:14" x14ac:dyDescent="0.35">
      <c r="A653" s="1" t="str">
        <f>'[7]Population Definitions'!$A$12</f>
        <v>pt_hm</v>
      </c>
      <c r="B653" s="5" t="s">
        <v>146</v>
      </c>
    </row>
    <row r="655" spans="1:14" x14ac:dyDescent="0.35">
      <c r="A655" s="1" t="s">
        <v>147</v>
      </c>
      <c r="B655" s="1"/>
      <c r="C655" s="1" t="s">
        <v>148</v>
      </c>
      <c r="D655" s="1" t="s">
        <v>28</v>
      </c>
      <c r="E655" s="1" t="s">
        <v>29</v>
      </c>
      <c r="F655" s="1" t="s">
        <v>30</v>
      </c>
      <c r="G655" s="1" t="s">
        <v>31</v>
      </c>
      <c r="H655" s="1"/>
      <c r="I655" s="1">
        <v>2020</v>
      </c>
      <c r="J655" s="1">
        <v>2021</v>
      </c>
      <c r="K655" s="1">
        <v>2022</v>
      </c>
      <c r="L655" s="1">
        <v>2023</v>
      </c>
      <c r="M655" s="1">
        <v>2024</v>
      </c>
      <c r="N655" s="1">
        <v>2025</v>
      </c>
    </row>
    <row r="656" spans="1:14" x14ac:dyDescent="0.35">
      <c r="A656" s="1" t="str">
        <f>IF($B$653="Y",'[7]Population Definitions'!$A$12,"...")</f>
        <v>pt_hm</v>
      </c>
      <c r="B656" s="4" t="str">
        <f>IF($B$653="Y","---&gt;","...")</f>
        <v>---&gt;</v>
      </c>
      <c r="C656" s="1" t="str">
        <f>IF($B$653="Y",'[7]Population Definitions'!$A$12,"...")</f>
        <v>pt_hm</v>
      </c>
      <c r="D656" t="s">
        <v>32</v>
      </c>
      <c r="E656" s="3" t="s">
        <v>118</v>
      </c>
      <c r="F656" s="3"/>
      <c r="G656" s="3">
        <v>1</v>
      </c>
      <c r="H656" s="4" t="str">
        <f>IF($B$653="Y","OR","...")</f>
        <v>OR</v>
      </c>
      <c r="I656" s="3"/>
      <c r="J656" s="3"/>
      <c r="K656" s="3"/>
      <c r="L656" s="3"/>
      <c r="M656" s="3"/>
      <c r="N656" s="3"/>
    </row>
    <row r="658" spans="1:14" x14ac:dyDescent="0.35">
      <c r="A658" s="1" t="s">
        <v>0</v>
      </c>
      <c r="B658" s="1" t="s">
        <v>1</v>
      </c>
      <c r="C658" s="1" t="s">
        <v>144</v>
      </c>
      <c r="D658" s="1" t="s">
        <v>145</v>
      </c>
    </row>
    <row r="659" spans="1:14" x14ac:dyDescent="0.35">
      <c r="A659" t="s">
        <v>176</v>
      </c>
      <c r="B659" t="s">
        <v>176</v>
      </c>
      <c r="C659" t="s">
        <v>19</v>
      </c>
      <c r="D659" t="s">
        <v>21</v>
      </c>
    </row>
    <row r="661" spans="1:14" x14ac:dyDescent="0.35">
      <c r="B661" s="1" t="str">
        <f>'[7]Population Definitions'!$A$13</f>
        <v>rds_hm</v>
      </c>
    </row>
    <row r="662" spans="1:14" x14ac:dyDescent="0.35">
      <c r="A662" s="1" t="str">
        <f>'[7]Population Definitions'!$A$12</f>
        <v>pt_hm</v>
      </c>
      <c r="B662" s="5" t="s">
        <v>146</v>
      </c>
    </row>
    <row r="664" spans="1:14" x14ac:dyDescent="0.35">
      <c r="A664" s="1" t="s">
        <v>147</v>
      </c>
      <c r="B664" s="1"/>
      <c r="C664" s="1" t="s">
        <v>148</v>
      </c>
      <c r="D664" s="1" t="s">
        <v>28</v>
      </c>
      <c r="E664" s="1" t="s">
        <v>29</v>
      </c>
      <c r="F664" s="1" t="s">
        <v>30</v>
      </c>
      <c r="G664" s="1" t="s">
        <v>31</v>
      </c>
      <c r="H664" s="1"/>
      <c r="I664" s="1">
        <v>2020</v>
      </c>
      <c r="J664" s="1">
        <v>2021</v>
      </c>
      <c r="K664" s="1">
        <v>2022</v>
      </c>
      <c r="L664" s="1">
        <v>2023</v>
      </c>
      <c r="M664" s="1">
        <v>2024</v>
      </c>
      <c r="N664" s="1">
        <v>2025</v>
      </c>
    </row>
    <row r="665" spans="1:14" x14ac:dyDescent="0.35">
      <c r="A665" s="1" t="str">
        <f>IF($B$662="Y",'[7]Population Definitions'!$A$12,"...")</f>
        <v>pt_hm</v>
      </c>
      <c r="B665" s="4" t="str">
        <f>IF($B$662="Y","---&gt;","...")</f>
        <v>---&gt;</v>
      </c>
      <c r="C665" s="1" t="str">
        <f>IF($B$662="Y",'[7]Population Definitions'!$A$13,"...")</f>
        <v>rds_hm</v>
      </c>
      <c r="D665" t="s">
        <v>32</v>
      </c>
      <c r="E665" s="3" t="s">
        <v>118</v>
      </c>
      <c r="F665" s="3"/>
      <c r="G665" s="3">
        <v>1</v>
      </c>
      <c r="H665" s="4" t="str">
        <f>IF($B$662="Y","OR","...")</f>
        <v>OR</v>
      </c>
      <c r="I665" s="3"/>
      <c r="J665" s="3"/>
      <c r="K665" s="3"/>
      <c r="L665" s="3"/>
      <c r="M665" s="3"/>
      <c r="N665" s="3"/>
    </row>
    <row r="667" spans="1:14" x14ac:dyDescent="0.35">
      <c r="A667" s="1" t="s">
        <v>0</v>
      </c>
      <c r="B667" s="1" t="s">
        <v>1</v>
      </c>
      <c r="C667" s="1" t="s">
        <v>144</v>
      </c>
      <c r="D667" s="1" t="s">
        <v>145</v>
      </c>
    </row>
    <row r="668" spans="1:14" x14ac:dyDescent="0.35">
      <c r="A668" t="s">
        <v>239</v>
      </c>
      <c r="B668" t="s">
        <v>239</v>
      </c>
      <c r="C668" t="s">
        <v>3</v>
      </c>
      <c r="D668" t="s">
        <v>21</v>
      </c>
    </row>
    <row r="670" spans="1:14" x14ac:dyDescent="0.35">
      <c r="B670" s="1" t="str">
        <f>'[7]Population Definitions'!$A$13</f>
        <v>rds_hm</v>
      </c>
    </row>
    <row r="671" spans="1:14" x14ac:dyDescent="0.35">
      <c r="A671" s="1" t="str">
        <f>'[7]Population Definitions'!$A$2</f>
        <v>anc_hm</v>
      </c>
      <c r="B671" s="5" t="s">
        <v>146</v>
      </c>
    </row>
    <row r="673" spans="1:14" x14ac:dyDescent="0.35">
      <c r="A673" s="1" t="s">
        <v>147</v>
      </c>
      <c r="B673" s="1"/>
      <c r="C673" s="1" t="s">
        <v>148</v>
      </c>
      <c r="D673" s="1" t="s">
        <v>28</v>
      </c>
      <c r="E673" s="1" t="s">
        <v>29</v>
      </c>
      <c r="F673" s="1" t="s">
        <v>30</v>
      </c>
      <c r="G673" s="1" t="s">
        <v>31</v>
      </c>
      <c r="H673" s="1"/>
      <c r="I673" s="1">
        <v>2020</v>
      </c>
      <c r="J673" s="1">
        <v>2021</v>
      </c>
      <c r="K673" s="1">
        <v>2022</v>
      </c>
      <c r="L673" s="1">
        <v>2023</v>
      </c>
      <c r="M673" s="1">
        <v>2024</v>
      </c>
      <c r="N673" s="1">
        <v>2025</v>
      </c>
    </row>
    <row r="674" spans="1:14" x14ac:dyDescent="0.35">
      <c r="A674" s="1" t="str">
        <f>IF($B$671="Y",'[7]Population Definitions'!$A$2,"...")</f>
        <v>anc_hm</v>
      </c>
      <c r="B674" s="4" t="str">
        <f>IF($B$671="Y","---&gt;","...")</f>
        <v>---&gt;</v>
      </c>
      <c r="C674" s="1" t="str">
        <f>IF($B$671="Y",'[7]Population Definitions'!$A$13,"...")</f>
        <v>rds_hm</v>
      </c>
      <c r="D674" t="s">
        <v>32</v>
      </c>
      <c r="E674" s="3" t="s">
        <v>118</v>
      </c>
      <c r="F674" s="3"/>
      <c r="G674" s="3">
        <v>1</v>
      </c>
      <c r="H674" s="4" t="str">
        <f>IF($B$671="Y","OR","...")</f>
        <v>OR</v>
      </c>
      <c r="I674" s="3"/>
      <c r="J674" s="3"/>
      <c r="K674" s="3"/>
      <c r="L674" s="3"/>
      <c r="M674" s="3"/>
      <c r="N674" s="3"/>
    </row>
    <row r="676" spans="1:14" x14ac:dyDescent="0.35">
      <c r="A676" s="1" t="s">
        <v>0</v>
      </c>
      <c r="B676" s="1" t="s">
        <v>1</v>
      </c>
      <c r="C676" s="1" t="s">
        <v>144</v>
      </c>
      <c r="D676" s="1" t="s">
        <v>145</v>
      </c>
    </row>
    <row r="677" spans="1:14" x14ac:dyDescent="0.35">
      <c r="A677" t="s">
        <v>175</v>
      </c>
      <c r="B677" t="s">
        <v>175</v>
      </c>
      <c r="C677" t="s">
        <v>5</v>
      </c>
      <c r="D677" t="s">
        <v>21</v>
      </c>
    </row>
    <row r="679" spans="1:14" x14ac:dyDescent="0.35">
      <c r="B679" s="1" t="str">
        <f>'[7]Population Definitions'!$A$13</f>
        <v>rds_hm</v>
      </c>
    </row>
    <row r="680" spans="1:14" x14ac:dyDescent="0.35">
      <c r="A680" s="1" t="str">
        <f>'[7]Population Definitions'!$A$3</f>
        <v>asx_hm</v>
      </c>
      <c r="B680" s="5" t="s">
        <v>146</v>
      </c>
    </row>
    <row r="682" spans="1:14" x14ac:dyDescent="0.35">
      <c r="A682" s="1" t="s">
        <v>147</v>
      </c>
      <c r="B682" s="1"/>
      <c r="C682" s="1" t="s">
        <v>148</v>
      </c>
      <c r="D682" s="1" t="s">
        <v>28</v>
      </c>
      <c r="E682" s="1" t="s">
        <v>29</v>
      </c>
      <c r="F682" s="1" t="s">
        <v>30</v>
      </c>
      <c r="G682" s="1" t="s">
        <v>31</v>
      </c>
      <c r="H682" s="1"/>
      <c r="I682" s="1">
        <v>2020</v>
      </c>
      <c r="J682" s="1">
        <v>2021</v>
      </c>
      <c r="K682" s="1">
        <v>2022</v>
      </c>
      <c r="L682" s="1">
        <v>2023</v>
      </c>
      <c r="M682" s="1">
        <v>2024</v>
      </c>
      <c r="N682" s="1">
        <v>2025</v>
      </c>
    </row>
    <row r="683" spans="1:14" x14ac:dyDescent="0.35">
      <c r="A683" s="1" t="str">
        <f>IF($B$680="Y",'[7]Population Definitions'!$A$3,"...")</f>
        <v>asx_hm</v>
      </c>
      <c r="B683" s="4" t="str">
        <f>IF($B$680="Y","---&gt;","...")</f>
        <v>---&gt;</v>
      </c>
      <c r="C683" s="1" t="str">
        <f>IF($B$680="Y",'[7]Population Definitions'!$A$13,"...")</f>
        <v>rds_hm</v>
      </c>
      <c r="D683" t="s">
        <v>32</v>
      </c>
      <c r="E683" s="3" t="s">
        <v>118</v>
      </c>
      <c r="F683" s="3"/>
      <c r="G683" s="3">
        <v>1</v>
      </c>
      <c r="H683" s="4" t="str">
        <f>IF($B$680="Y","OR","...")</f>
        <v>OR</v>
      </c>
      <c r="I683" s="3"/>
      <c r="J683" s="3"/>
      <c r="K683" s="3"/>
      <c r="L683" s="3"/>
      <c r="M683" s="3"/>
      <c r="N683" s="3"/>
    </row>
    <row r="685" spans="1:14" x14ac:dyDescent="0.35">
      <c r="A685" s="1" t="s">
        <v>0</v>
      </c>
      <c r="B685" s="1" t="s">
        <v>1</v>
      </c>
      <c r="C685" s="1" t="s">
        <v>144</v>
      </c>
      <c r="D685" s="1" t="s">
        <v>145</v>
      </c>
    </row>
    <row r="686" spans="1:14" x14ac:dyDescent="0.35">
      <c r="A686" t="s">
        <v>257</v>
      </c>
      <c r="B686" t="s">
        <v>257</v>
      </c>
      <c r="C686" t="s">
        <v>17</v>
      </c>
      <c r="D686" t="s">
        <v>21</v>
      </c>
    </row>
    <row r="688" spans="1:14" x14ac:dyDescent="0.35">
      <c r="B688" s="1" t="str">
        <f>'[7]Population Definitions'!$A$13</f>
        <v>rds_hm</v>
      </c>
    </row>
    <row r="689" spans="1:14" x14ac:dyDescent="0.35">
      <c r="A689" s="1" t="str">
        <f>'[7]Population Definitions'!$A$11</f>
        <v>nsep_hm</v>
      </c>
      <c r="B689" s="5" t="s">
        <v>146</v>
      </c>
    </row>
    <row r="691" spans="1:14" x14ac:dyDescent="0.35">
      <c r="A691" s="1" t="s">
        <v>147</v>
      </c>
      <c r="B691" s="1"/>
      <c r="C691" s="1" t="s">
        <v>148</v>
      </c>
      <c r="D691" s="1" t="s">
        <v>28</v>
      </c>
      <c r="E691" s="1" t="s">
        <v>29</v>
      </c>
      <c r="F691" s="1" t="s">
        <v>30</v>
      </c>
      <c r="G691" s="1" t="s">
        <v>31</v>
      </c>
      <c r="H691" s="1"/>
      <c r="I691" s="1">
        <v>2020</v>
      </c>
      <c r="J691" s="1">
        <v>2021</v>
      </c>
      <c r="K691" s="1">
        <v>2022</v>
      </c>
      <c r="L691" s="1">
        <v>2023</v>
      </c>
      <c r="M691" s="1">
        <v>2024</v>
      </c>
      <c r="N691" s="1">
        <v>2025</v>
      </c>
    </row>
    <row r="692" spans="1:14" x14ac:dyDescent="0.35">
      <c r="A692" s="1" t="str">
        <f>IF($B$689="Y",'[7]Population Definitions'!$A$11,"...")</f>
        <v>nsep_hm</v>
      </c>
      <c r="B692" s="4" t="str">
        <f>IF($B$689="Y","---&gt;","...")</f>
        <v>---&gt;</v>
      </c>
      <c r="C692" s="1" t="str">
        <f>IF($B$689="Y",'[7]Population Definitions'!$A$13,"...")</f>
        <v>rds_hm</v>
      </c>
      <c r="D692" t="s">
        <v>32</v>
      </c>
      <c r="E692" s="3" t="s">
        <v>118</v>
      </c>
      <c r="F692" s="3"/>
      <c r="G692" s="3">
        <v>1</v>
      </c>
      <c r="H692" s="4" t="str">
        <f>IF($B$689="Y","OR","...")</f>
        <v>OR</v>
      </c>
      <c r="I692" s="3"/>
      <c r="J692" s="3"/>
      <c r="K692" s="3"/>
      <c r="L692" s="3"/>
      <c r="M692" s="3"/>
      <c r="N692" s="3"/>
    </row>
    <row r="694" spans="1:14" x14ac:dyDescent="0.35">
      <c r="A694" s="1" t="s">
        <v>0</v>
      </c>
      <c r="B694" s="1" t="s">
        <v>1</v>
      </c>
      <c r="C694" s="1" t="s">
        <v>144</v>
      </c>
      <c r="D694" s="1" t="s">
        <v>145</v>
      </c>
    </row>
    <row r="695" spans="1:14" x14ac:dyDescent="0.35">
      <c r="A695" t="s">
        <v>258</v>
      </c>
      <c r="B695" t="s">
        <v>258</v>
      </c>
      <c r="C695" t="s">
        <v>15</v>
      </c>
      <c r="D695" t="s">
        <v>21</v>
      </c>
    </row>
    <row r="697" spans="1:14" x14ac:dyDescent="0.35">
      <c r="B697" s="1" t="str">
        <f>'[7]Population Definitions'!$A$13</f>
        <v>rds_hm</v>
      </c>
    </row>
    <row r="698" spans="1:14" x14ac:dyDescent="0.35">
      <c r="A698" s="1" t="str">
        <f>'[7]Population Definitions'!$A$10</f>
        <v>oth_hm</v>
      </c>
      <c r="B698" s="5" t="s">
        <v>146</v>
      </c>
    </row>
    <row r="700" spans="1:14" x14ac:dyDescent="0.35">
      <c r="A700" s="1" t="s">
        <v>147</v>
      </c>
      <c r="B700" s="1"/>
      <c r="C700" s="1" t="s">
        <v>148</v>
      </c>
      <c r="D700" s="1" t="s">
        <v>28</v>
      </c>
      <c r="E700" s="1" t="s">
        <v>29</v>
      </c>
      <c r="F700" s="1" t="s">
        <v>30</v>
      </c>
      <c r="G700" s="1" t="s">
        <v>31</v>
      </c>
      <c r="H700" s="1"/>
      <c r="I700" s="1">
        <v>2020</v>
      </c>
      <c r="J700" s="1">
        <v>2021</v>
      </c>
      <c r="K700" s="1">
        <v>2022</v>
      </c>
      <c r="L700" s="1">
        <v>2023</v>
      </c>
      <c r="M700" s="1">
        <v>2024</v>
      </c>
      <c r="N700" s="1">
        <v>2025</v>
      </c>
    </row>
    <row r="701" spans="1:14" x14ac:dyDescent="0.35">
      <c r="A701" s="1" t="str">
        <f>IF($B$698="Y",'[7]Population Definitions'!$A$10,"...")</f>
        <v>oth_hm</v>
      </c>
      <c r="B701" s="4" t="str">
        <f>IF($B$698="Y","---&gt;","...")</f>
        <v>---&gt;</v>
      </c>
      <c r="C701" s="1" t="str">
        <f>IF($B$698="Y",'[7]Population Definitions'!$A$13,"...")</f>
        <v>rds_hm</v>
      </c>
      <c r="D701" t="s">
        <v>32</v>
      </c>
      <c r="E701" s="3" t="s">
        <v>118</v>
      </c>
      <c r="F701" s="3"/>
      <c r="G701" s="3">
        <v>1</v>
      </c>
      <c r="H701" s="4" t="str">
        <f>IF($B$698="Y","OR","...")</f>
        <v>OR</v>
      </c>
      <c r="I701" s="3"/>
      <c r="J701" s="3"/>
      <c r="K701" s="3"/>
      <c r="L701" s="3"/>
      <c r="M701" s="3"/>
      <c r="N701" s="3"/>
    </row>
    <row r="703" spans="1:14" x14ac:dyDescent="0.35">
      <c r="A703" s="1" t="s">
        <v>0</v>
      </c>
      <c r="B703" s="1" t="s">
        <v>1</v>
      </c>
      <c r="C703" s="1" t="s">
        <v>144</v>
      </c>
      <c r="D703" s="1" t="s">
        <v>145</v>
      </c>
    </row>
    <row r="704" spans="1:14" x14ac:dyDescent="0.35">
      <c r="A704" t="s">
        <v>259</v>
      </c>
      <c r="B704" t="s">
        <v>259</v>
      </c>
      <c r="C704" t="s">
        <v>21</v>
      </c>
      <c r="D704" t="s">
        <v>21</v>
      </c>
    </row>
    <row r="706" spans="1:14" x14ac:dyDescent="0.35">
      <c r="B706" s="1" t="str">
        <f>'[7]Population Definitions'!$A$13</f>
        <v>rds_hm</v>
      </c>
    </row>
    <row r="707" spans="1:14" x14ac:dyDescent="0.35">
      <c r="A707" s="1" t="str">
        <f>'[7]Population Definitions'!$A$13</f>
        <v>rds_hm</v>
      </c>
      <c r="B707" s="5" t="s">
        <v>146</v>
      </c>
    </row>
    <row r="709" spans="1:14" x14ac:dyDescent="0.35">
      <c r="A709" s="1" t="s">
        <v>147</v>
      </c>
      <c r="B709" s="1"/>
      <c r="C709" s="1" t="s">
        <v>148</v>
      </c>
      <c r="D709" s="1" t="s">
        <v>28</v>
      </c>
      <c r="E709" s="1" t="s">
        <v>29</v>
      </c>
      <c r="F709" s="1" t="s">
        <v>30</v>
      </c>
      <c r="G709" s="1" t="s">
        <v>31</v>
      </c>
      <c r="H709" s="1"/>
      <c r="I709" s="1">
        <v>2020</v>
      </c>
      <c r="J709" s="1">
        <v>2021</v>
      </c>
      <c r="K709" s="1">
        <v>2022</v>
      </c>
      <c r="L709" s="1">
        <v>2023</v>
      </c>
      <c r="M709" s="1">
        <v>2024</v>
      </c>
      <c r="N709" s="1">
        <v>2025</v>
      </c>
    </row>
    <row r="710" spans="1:14" x14ac:dyDescent="0.35">
      <c r="A710" s="1" t="str">
        <f>IF($B$707="Y",'[7]Population Definitions'!$A$13,"...")</f>
        <v>rds_hm</v>
      </c>
      <c r="B710" s="4" t="str">
        <f>IF($B$707="Y","---&gt;","...")</f>
        <v>---&gt;</v>
      </c>
      <c r="C710" s="1" t="str">
        <f>IF($B$707="Y",'[7]Population Definitions'!$A$13,"...")</f>
        <v>rds_hm</v>
      </c>
      <c r="D710" t="s">
        <v>32</v>
      </c>
      <c r="E710" s="3" t="s">
        <v>118</v>
      </c>
      <c r="F710" s="3"/>
      <c r="G710" s="3">
        <v>1</v>
      </c>
      <c r="H710" s="4" t="str">
        <f>IF($B$707="Y","OR","...")</f>
        <v>OR</v>
      </c>
      <c r="I710" s="3"/>
      <c r="J710" s="3"/>
      <c r="K710" s="3"/>
      <c r="L710" s="3"/>
      <c r="M710" s="3"/>
      <c r="N710" s="3"/>
    </row>
    <row r="712" spans="1:14" x14ac:dyDescent="0.35">
      <c r="A712" s="1" t="s">
        <v>0</v>
      </c>
      <c r="B712" s="1" t="s">
        <v>1</v>
      </c>
      <c r="C712" s="1" t="s">
        <v>144</v>
      </c>
      <c r="D712" s="1" t="s">
        <v>145</v>
      </c>
    </row>
    <row r="713" spans="1:14" x14ac:dyDescent="0.35">
      <c r="A713" t="s">
        <v>260</v>
      </c>
      <c r="B713" t="s">
        <v>260</v>
      </c>
      <c r="C713" t="s">
        <v>25</v>
      </c>
      <c r="D713" t="s">
        <v>21</v>
      </c>
    </row>
    <row r="715" spans="1:14" x14ac:dyDescent="0.35">
      <c r="B715" s="1" t="str">
        <f>'[7]Population Definitions'!$A$13</f>
        <v>rds_hm</v>
      </c>
    </row>
    <row r="716" spans="1:14" x14ac:dyDescent="0.35">
      <c r="A716" s="1" t="str">
        <f>'[7]Population Definitions'!$A$15</f>
        <v>stunting_hm</v>
      </c>
      <c r="B716" s="5" t="s">
        <v>146</v>
      </c>
    </row>
    <row r="718" spans="1:14" x14ac:dyDescent="0.35">
      <c r="A718" s="1" t="s">
        <v>147</v>
      </c>
      <c r="B718" s="1"/>
      <c r="C718" s="1" t="s">
        <v>148</v>
      </c>
      <c r="D718" s="1" t="s">
        <v>28</v>
      </c>
      <c r="E718" s="1" t="s">
        <v>29</v>
      </c>
      <c r="F718" s="1" t="s">
        <v>30</v>
      </c>
      <c r="G718" s="1" t="s">
        <v>31</v>
      </c>
      <c r="H718" s="1"/>
      <c r="I718" s="1">
        <v>2020</v>
      </c>
      <c r="J718" s="1">
        <v>2021</v>
      </c>
      <c r="K718" s="1">
        <v>2022</v>
      </c>
      <c r="L718" s="1">
        <v>2023</v>
      </c>
      <c r="M718" s="1">
        <v>2024</v>
      </c>
      <c r="N718" s="1">
        <v>2025</v>
      </c>
    </row>
    <row r="719" spans="1:14" x14ac:dyDescent="0.35">
      <c r="A719" s="1" t="str">
        <f>IF($B$716="Y",'[7]Population Definitions'!$A$15,"...")</f>
        <v>stunting_hm</v>
      </c>
      <c r="B719" s="4" t="str">
        <f>IF($B$716="Y","---&gt;","...")</f>
        <v>---&gt;</v>
      </c>
      <c r="C719" s="1" t="str">
        <f>IF($B$716="Y",'[7]Population Definitions'!$A$13,"...")</f>
        <v>rds_hm</v>
      </c>
      <c r="D719" t="s">
        <v>32</v>
      </c>
      <c r="E719" s="3" t="s">
        <v>118</v>
      </c>
      <c r="F719" s="3"/>
      <c r="G719" s="3">
        <v>1</v>
      </c>
      <c r="H719" s="4" t="str">
        <f>IF($B$716="Y","OR","...")</f>
        <v>OR</v>
      </c>
      <c r="I719" s="3"/>
      <c r="J719" s="3"/>
      <c r="K719" s="3"/>
      <c r="L719" s="3"/>
      <c r="M719" s="3"/>
      <c r="N719" s="3"/>
    </row>
    <row r="721" spans="1:14" x14ac:dyDescent="0.35">
      <c r="A721" s="1" t="s">
        <v>0</v>
      </c>
      <c r="B721" s="1" t="s">
        <v>1</v>
      </c>
      <c r="C721" s="1" t="s">
        <v>144</v>
      </c>
      <c r="D721" s="1" t="s">
        <v>145</v>
      </c>
    </row>
    <row r="722" spans="1:14" x14ac:dyDescent="0.35">
      <c r="A722" t="s">
        <v>177</v>
      </c>
      <c r="B722" t="s">
        <v>177</v>
      </c>
      <c r="C722" t="s">
        <v>21</v>
      </c>
      <c r="D722" t="s">
        <v>23</v>
      </c>
    </row>
    <row r="724" spans="1:14" x14ac:dyDescent="0.35">
      <c r="B724" s="1" t="str">
        <f>'[7]Population Definitions'!$A$14</f>
        <v>wasting_hm</v>
      </c>
    </row>
    <row r="725" spans="1:14" x14ac:dyDescent="0.35">
      <c r="A725" s="1" t="str">
        <f>'[7]Population Definitions'!$A$13</f>
        <v>rds_hm</v>
      </c>
      <c r="B725" s="5" t="s">
        <v>146</v>
      </c>
    </row>
    <row r="727" spans="1:14" x14ac:dyDescent="0.35">
      <c r="A727" s="1" t="s">
        <v>147</v>
      </c>
      <c r="B727" s="1"/>
      <c r="C727" s="1" t="s">
        <v>148</v>
      </c>
      <c r="D727" s="1" t="s">
        <v>28</v>
      </c>
      <c r="E727" s="1" t="s">
        <v>29</v>
      </c>
      <c r="F727" s="1" t="s">
        <v>30</v>
      </c>
      <c r="G727" s="1" t="s">
        <v>31</v>
      </c>
      <c r="H727" s="1"/>
      <c r="I727" s="1">
        <v>2020</v>
      </c>
      <c r="J727" s="1">
        <v>2021</v>
      </c>
      <c r="K727" s="1">
        <v>2022</v>
      </c>
      <c r="L727" s="1">
        <v>2023</v>
      </c>
      <c r="M727" s="1">
        <v>2024</v>
      </c>
      <c r="N727" s="1">
        <v>2025</v>
      </c>
    </row>
    <row r="728" spans="1:14" x14ac:dyDescent="0.35">
      <c r="A728" s="1" t="str">
        <f>IF($B$725="Y",'[7]Population Definitions'!$A$13,"...")</f>
        <v>rds_hm</v>
      </c>
      <c r="B728" s="4" t="str">
        <f>IF($B$725="Y","---&gt;","...")</f>
        <v>---&gt;</v>
      </c>
      <c r="C728" s="1" t="str">
        <f>IF($B$725="Y",'[7]Population Definitions'!$A$14,"...")</f>
        <v>wasting_hm</v>
      </c>
      <c r="D728" t="s">
        <v>32</v>
      </c>
      <c r="E728" s="3" t="s">
        <v>118</v>
      </c>
      <c r="F728" s="3"/>
      <c r="G728" s="3">
        <v>1</v>
      </c>
      <c r="H728" s="4" t="str">
        <f>IF($B$725="Y","OR","...")</f>
        <v>OR</v>
      </c>
      <c r="I728" s="3"/>
      <c r="J728" s="3"/>
      <c r="K728" s="3"/>
      <c r="L728" s="3"/>
      <c r="M728" s="3"/>
      <c r="N728" s="3"/>
    </row>
    <row r="730" spans="1:14" x14ac:dyDescent="0.35">
      <c r="A730" s="1" t="s">
        <v>0</v>
      </c>
      <c r="B730" s="1" t="s">
        <v>1</v>
      </c>
      <c r="C730" s="1" t="s">
        <v>144</v>
      </c>
      <c r="D730" s="1" t="s">
        <v>145</v>
      </c>
    </row>
    <row r="731" spans="1:14" x14ac:dyDescent="0.35">
      <c r="A731" t="s">
        <v>240</v>
      </c>
      <c r="B731" t="s">
        <v>240</v>
      </c>
      <c r="C731" t="s">
        <v>3</v>
      </c>
      <c r="D731" t="s">
        <v>23</v>
      </c>
    </row>
    <row r="733" spans="1:14" x14ac:dyDescent="0.35">
      <c r="B733" s="1" t="str">
        <f>'[7]Population Definitions'!$A$14</f>
        <v>wasting_hm</v>
      </c>
    </row>
    <row r="734" spans="1:14" x14ac:dyDescent="0.35">
      <c r="A734" s="1" t="str">
        <f>'[7]Population Definitions'!$A$2</f>
        <v>anc_hm</v>
      </c>
      <c r="B734" s="5" t="s">
        <v>146</v>
      </c>
    </row>
    <row r="736" spans="1:14" x14ac:dyDescent="0.35">
      <c r="A736" s="1" t="s">
        <v>147</v>
      </c>
      <c r="B736" s="1"/>
      <c r="C736" s="1" t="s">
        <v>148</v>
      </c>
      <c r="D736" s="1" t="s">
        <v>28</v>
      </c>
      <c r="E736" s="1" t="s">
        <v>29</v>
      </c>
      <c r="F736" s="1" t="s">
        <v>30</v>
      </c>
      <c r="G736" s="1" t="s">
        <v>31</v>
      </c>
      <c r="H736" s="1"/>
      <c r="I736" s="1">
        <v>2020</v>
      </c>
      <c r="J736" s="1">
        <v>2021</v>
      </c>
      <c r="K736" s="1">
        <v>2022</v>
      </c>
      <c r="L736" s="1">
        <v>2023</v>
      </c>
      <c r="M736" s="1">
        <v>2024</v>
      </c>
      <c r="N736" s="1">
        <v>2025</v>
      </c>
    </row>
    <row r="737" spans="1:14" x14ac:dyDescent="0.35">
      <c r="A737" s="1" t="str">
        <f>IF($B$734="Y",'[7]Population Definitions'!$A$2,"...")</f>
        <v>anc_hm</v>
      </c>
      <c r="B737" s="4" t="str">
        <f>IF($B$734="Y","---&gt;","...")</f>
        <v>---&gt;</v>
      </c>
      <c r="C737" s="1" t="str">
        <f>IF($B$734="Y",'[7]Population Definitions'!$A$14,"...")</f>
        <v>wasting_hm</v>
      </c>
      <c r="D737" t="s">
        <v>32</v>
      </c>
      <c r="E737" s="3" t="s">
        <v>118</v>
      </c>
      <c r="F737" s="3"/>
      <c r="G737" s="3">
        <v>1</v>
      </c>
      <c r="H737" s="4" t="str">
        <f>IF($B$734="Y","OR","...")</f>
        <v>OR</v>
      </c>
      <c r="I737" s="3"/>
      <c r="J737" s="3"/>
      <c r="K737" s="3"/>
      <c r="L737" s="3"/>
      <c r="M737" s="3"/>
      <c r="N737" s="3"/>
    </row>
    <row r="739" spans="1:14" x14ac:dyDescent="0.35">
      <c r="A739" s="1" t="s">
        <v>0</v>
      </c>
      <c r="B739" s="1" t="s">
        <v>1</v>
      </c>
      <c r="C739" s="1" t="s">
        <v>144</v>
      </c>
      <c r="D739" s="1" t="s">
        <v>145</v>
      </c>
    </row>
    <row r="740" spans="1:14" x14ac:dyDescent="0.35">
      <c r="A740" t="s">
        <v>178</v>
      </c>
      <c r="B740" t="s">
        <v>178</v>
      </c>
      <c r="C740" t="s">
        <v>19</v>
      </c>
      <c r="D740" t="s">
        <v>23</v>
      </c>
    </row>
    <row r="742" spans="1:14" x14ac:dyDescent="0.35">
      <c r="B742" s="1" t="str">
        <f>'[7]Population Definitions'!$A$14</f>
        <v>wasting_hm</v>
      </c>
    </row>
    <row r="743" spans="1:14" x14ac:dyDescent="0.35">
      <c r="A743" s="1" t="str">
        <f>'[7]Population Definitions'!$A$12</f>
        <v>pt_hm</v>
      </c>
      <c r="B743" s="5" t="s">
        <v>146</v>
      </c>
    </row>
    <row r="745" spans="1:14" x14ac:dyDescent="0.35">
      <c r="A745" s="1" t="s">
        <v>147</v>
      </c>
      <c r="B745" s="1"/>
      <c r="C745" s="1" t="s">
        <v>148</v>
      </c>
      <c r="D745" s="1" t="s">
        <v>28</v>
      </c>
      <c r="E745" s="1" t="s">
        <v>29</v>
      </c>
      <c r="F745" s="1" t="s">
        <v>30</v>
      </c>
      <c r="G745" s="1" t="s">
        <v>31</v>
      </c>
      <c r="H745" s="1"/>
      <c r="I745" s="1">
        <v>2020</v>
      </c>
      <c r="J745" s="1">
        <v>2021</v>
      </c>
      <c r="K745" s="1">
        <v>2022</v>
      </c>
      <c r="L745" s="1">
        <v>2023</v>
      </c>
      <c r="M745" s="1">
        <v>2024</v>
      </c>
      <c r="N745" s="1">
        <v>2025</v>
      </c>
    </row>
    <row r="746" spans="1:14" x14ac:dyDescent="0.35">
      <c r="A746" s="1" t="str">
        <f>IF($B$743="Y",'[7]Population Definitions'!$A$12,"...")</f>
        <v>pt_hm</v>
      </c>
      <c r="B746" s="4" t="str">
        <f>IF($B$743="Y","---&gt;","...")</f>
        <v>---&gt;</v>
      </c>
      <c r="C746" s="1" t="str">
        <f>IF($B$743="Y",'[7]Population Definitions'!$A$14,"...")</f>
        <v>wasting_hm</v>
      </c>
      <c r="D746" t="s">
        <v>32</v>
      </c>
      <c r="E746" s="3" t="s">
        <v>118</v>
      </c>
      <c r="F746" s="3"/>
      <c r="G746" s="3">
        <v>1</v>
      </c>
      <c r="H746" s="4" t="str">
        <f>IF($B$743="Y","OR","...")</f>
        <v>OR</v>
      </c>
      <c r="I746" s="3"/>
      <c r="J746" s="3"/>
      <c r="K746" s="3"/>
      <c r="L746" s="3"/>
      <c r="M746" s="3"/>
      <c r="N746" s="3"/>
    </row>
    <row r="748" spans="1:14" x14ac:dyDescent="0.35">
      <c r="A748" s="1" t="s">
        <v>0</v>
      </c>
      <c r="B748" s="1" t="s">
        <v>1</v>
      </c>
      <c r="C748" s="1" t="s">
        <v>144</v>
      </c>
      <c r="D748" s="1" t="s">
        <v>145</v>
      </c>
    </row>
    <row r="749" spans="1:14" x14ac:dyDescent="0.35">
      <c r="A749" t="s">
        <v>180</v>
      </c>
      <c r="B749" t="s">
        <v>180</v>
      </c>
      <c r="C749" t="s">
        <v>19</v>
      </c>
      <c r="D749" t="s">
        <v>25</v>
      </c>
    </row>
    <row r="751" spans="1:14" x14ac:dyDescent="0.35">
      <c r="B751" s="1" t="str">
        <f>'[7]Population Definitions'!$A$15</f>
        <v>stunting_hm</v>
      </c>
    </row>
    <row r="752" spans="1:14" x14ac:dyDescent="0.35">
      <c r="A752" s="1" t="str">
        <f>'[7]Population Definitions'!$A$12</f>
        <v>pt_hm</v>
      </c>
      <c r="B752" s="5" t="s">
        <v>146</v>
      </c>
    </row>
    <row r="754" spans="1:14" x14ac:dyDescent="0.35">
      <c r="A754" s="1" t="s">
        <v>147</v>
      </c>
      <c r="B754" s="1"/>
      <c r="C754" s="1" t="s">
        <v>148</v>
      </c>
      <c r="D754" s="1" t="s">
        <v>28</v>
      </c>
      <c r="E754" s="1" t="s">
        <v>29</v>
      </c>
      <c r="F754" s="1" t="s">
        <v>30</v>
      </c>
      <c r="G754" s="1" t="s">
        <v>31</v>
      </c>
      <c r="H754" s="1"/>
      <c r="I754" s="1">
        <v>2020</v>
      </c>
      <c r="J754" s="1">
        <v>2021</v>
      </c>
      <c r="K754" s="1">
        <v>2022</v>
      </c>
      <c r="L754" s="1">
        <v>2023</v>
      </c>
      <c r="M754" s="1">
        <v>2024</v>
      </c>
      <c r="N754" s="1">
        <v>2025</v>
      </c>
    </row>
    <row r="755" spans="1:14" x14ac:dyDescent="0.35">
      <c r="A755" s="1" t="str">
        <f>IF($B$752="Y",'[7]Population Definitions'!$A$12,"...")</f>
        <v>pt_hm</v>
      </c>
      <c r="B755" s="4" t="str">
        <f>IF($B$752="Y","---&gt;","...")</f>
        <v>---&gt;</v>
      </c>
      <c r="C755" s="1" t="str">
        <f>IF($B$752="Y",'[7]Population Definitions'!$A$15,"...")</f>
        <v>stunting_hm</v>
      </c>
      <c r="D755" t="s">
        <v>32</v>
      </c>
      <c r="E755" s="3" t="s">
        <v>118</v>
      </c>
      <c r="F755" s="3"/>
      <c r="G755" s="3">
        <v>1</v>
      </c>
      <c r="H755" s="4" t="str">
        <f>IF($B$752="Y","OR","...")</f>
        <v>OR</v>
      </c>
      <c r="I755" s="3"/>
      <c r="J755" s="3"/>
      <c r="K755" s="3"/>
      <c r="L755" s="3"/>
      <c r="M755" s="3"/>
      <c r="N755" s="3"/>
    </row>
    <row r="757" spans="1:14" x14ac:dyDescent="0.35">
      <c r="A757" s="1" t="s">
        <v>0</v>
      </c>
      <c r="B757" s="1" t="s">
        <v>1</v>
      </c>
      <c r="C757" s="1" t="s">
        <v>144</v>
      </c>
      <c r="D757" s="1" t="s">
        <v>145</v>
      </c>
    </row>
    <row r="758" spans="1:14" x14ac:dyDescent="0.35">
      <c r="A758" t="s">
        <v>241</v>
      </c>
      <c r="B758" t="s">
        <v>241</v>
      </c>
      <c r="C758" t="s">
        <v>3</v>
      </c>
      <c r="D758" t="s">
        <v>25</v>
      </c>
    </row>
    <row r="760" spans="1:14" x14ac:dyDescent="0.35">
      <c r="B760" s="1" t="str">
        <f>'[7]Population Definitions'!$A$15</f>
        <v>stunting_hm</v>
      </c>
    </row>
    <row r="761" spans="1:14" x14ac:dyDescent="0.35">
      <c r="A761" s="1" t="str">
        <f>'[7]Population Definitions'!$A$2</f>
        <v>anc_hm</v>
      </c>
      <c r="B761" s="5" t="s">
        <v>146</v>
      </c>
    </row>
    <row r="763" spans="1:14" x14ac:dyDescent="0.35">
      <c r="A763" s="1" t="s">
        <v>147</v>
      </c>
      <c r="B763" s="1"/>
      <c r="C763" s="1" t="s">
        <v>148</v>
      </c>
      <c r="D763" s="1" t="s">
        <v>28</v>
      </c>
      <c r="E763" s="1" t="s">
        <v>29</v>
      </c>
      <c r="F763" s="1" t="s">
        <v>30</v>
      </c>
      <c r="G763" s="1" t="s">
        <v>31</v>
      </c>
      <c r="H763" s="1"/>
      <c r="I763" s="1">
        <v>2020</v>
      </c>
      <c r="J763" s="1">
        <v>2021</v>
      </c>
      <c r="K763" s="1">
        <v>2022</v>
      </c>
      <c r="L763" s="1">
        <v>2023</v>
      </c>
      <c r="M763" s="1">
        <v>2024</v>
      </c>
      <c r="N763" s="1">
        <v>2025</v>
      </c>
    </row>
    <row r="764" spans="1:14" x14ac:dyDescent="0.35">
      <c r="A764" s="1" t="str">
        <f>IF($B$761="Y",'[7]Population Definitions'!$A$2,"...")</f>
        <v>anc_hm</v>
      </c>
      <c r="B764" s="4" t="str">
        <f>IF($B$761="Y","---&gt;","...")</f>
        <v>---&gt;</v>
      </c>
      <c r="C764" s="1" t="str">
        <f>IF($B$761="Y",'[7]Population Definitions'!$A$15,"...")</f>
        <v>stunting_hm</v>
      </c>
      <c r="D764" t="s">
        <v>32</v>
      </c>
      <c r="E764" s="3" t="s">
        <v>118</v>
      </c>
      <c r="F764" s="3"/>
      <c r="G764" s="3">
        <v>1</v>
      </c>
      <c r="H764" s="4" t="str">
        <f>IF($B$761="Y","OR","...")</f>
        <v>OR</v>
      </c>
      <c r="I764" s="3"/>
      <c r="J764" s="3"/>
      <c r="K764" s="3"/>
      <c r="L764" s="3"/>
      <c r="M764" s="3"/>
      <c r="N764" s="3"/>
    </row>
    <row r="766" spans="1:14" x14ac:dyDescent="0.35">
      <c r="A766" s="1" t="s">
        <v>0</v>
      </c>
      <c r="B766" s="1" t="s">
        <v>1</v>
      </c>
      <c r="C766" s="1" t="s">
        <v>144</v>
      </c>
      <c r="D766" s="1" t="s">
        <v>145</v>
      </c>
    </row>
    <row r="767" spans="1:14" x14ac:dyDescent="0.35">
      <c r="A767" t="s">
        <v>261</v>
      </c>
      <c r="B767" t="s">
        <v>261</v>
      </c>
      <c r="C767" t="s">
        <v>17</v>
      </c>
      <c r="D767" t="s">
        <v>25</v>
      </c>
    </row>
    <row r="769" spans="1:14" x14ac:dyDescent="0.35">
      <c r="B769" s="1" t="str">
        <f>'[7]Population Definitions'!$A$15</f>
        <v>stunting_hm</v>
      </c>
    </row>
    <row r="770" spans="1:14" x14ac:dyDescent="0.35">
      <c r="A770" s="1" t="str">
        <f>'[7]Population Definitions'!$A$11</f>
        <v>nsep_hm</v>
      </c>
      <c r="B770" s="5" t="s">
        <v>146</v>
      </c>
    </row>
    <row r="772" spans="1:14" x14ac:dyDescent="0.35">
      <c r="A772" s="1" t="s">
        <v>147</v>
      </c>
      <c r="B772" s="1"/>
      <c r="C772" s="1" t="s">
        <v>148</v>
      </c>
      <c r="D772" s="1" t="s">
        <v>28</v>
      </c>
      <c r="E772" s="1" t="s">
        <v>29</v>
      </c>
      <c r="F772" s="1" t="s">
        <v>30</v>
      </c>
      <c r="G772" s="1" t="s">
        <v>31</v>
      </c>
      <c r="H772" s="1"/>
      <c r="I772" s="1">
        <v>2020</v>
      </c>
      <c r="J772" s="1">
        <v>2021</v>
      </c>
      <c r="K772" s="1">
        <v>2022</v>
      </c>
      <c r="L772" s="1">
        <v>2023</v>
      </c>
      <c r="M772" s="1">
        <v>2024</v>
      </c>
      <c r="N772" s="1">
        <v>2025</v>
      </c>
    </row>
    <row r="773" spans="1:14" x14ac:dyDescent="0.35">
      <c r="A773" s="1" t="str">
        <f>IF($B$770="Y",'[7]Population Definitions'!$A$11,"...")</f>
        <v>nsep_hm</v>
      </c>
      <c r="B773" s="4" t="str">
        <f>IF($B$770="Y","---&gt;","...")</f>
        <v>---&gt;</v>
      </c>
      <c r="C773" s="1" t="str">
        <f>IF($B$770="Y",'[7]Population Definitions'!$A$15,"...")</f>
        <v>stunting_hm</v>
      </c>
      <c r="D773" t="s">
        <v>32</v>
      </c>
      <c r="E773" s="3" t="s">
        <v>118</v>
      </c>
      <c r="F773" s="3"/>
      <c r="G773" s="3">
        <v>1</v>
      </c>
      <c r="H773" s="4" t="str">
        <f>IF($B$770="Y","OR","...")</f>
        <v>OR</v>
      </c>
      <c r="I773" s="3"/>
      <c r="J773" s="3"/>
      <c r="K773" s="3"/>
      <c r="L773" s="3"/>
      <c r="M773" s="3"/>
      <c r="N773" s="3"/>
    </row>
    <row r="775" spans="1:14" x14ac:dyDescent="0.35">
      <c r="A775" s="1" t="s">
        <v>0</v>
      </c>
      <c r="B775" s="1" t="s">
        <v>1</v>
      </c>
      <c r="C775" s="1" t="s">
        <v>144</v>
      </c>
      <c r="D775" s="1" t="s">
        <v>145</v>
      </c>
    </row>
    <row r="776" spans="1:14" x14ac:dyDescent="0.35">
      <c r="A776" t="s">
        <v>179</v>
      </c>
      <c r="B776" t="s">
        <v>179</v>
      </c>
      <c r="C776" t="s">
        <v>5</v>
      </c>
      <c r="D776" t="s">
        <v>25</v>
      </c>
    </row>
    <row r="778" spans="1:14" x14ac:dyDescent="0.35">
      <c r="B778" s="1" t="str">
        <f>'[7]Population Definitions'!$A$15</f>
        <v>stunting_hm</v>
      </c>
    </row>
    <row r="779" spans="1:14" x14ac:dyDescent="0.35">
      <c r="A779" s="1" t="str">
        <f>'[7]Population Definitions'!$A$3</f>
        <v>asx_hm</v>
      </c>
      <c r="B779" s="5" t="s">
        <v>146</v>
      </c>
    </row>
    <row r="781" spans="1:14" x14ac:dyDescent="0.35">
      <c r="A781" s="1" t="s">
        <v>147</v>
      </c>
      <c r="B781" s="1"/>
      <c r="C781" s="1" t="s">
        <v>148</v>
      </c>
      <c r="D781" s="1" t="s">
        <v>28</v>
      </c>
      <c r="E781" s="1" t="s">
        <v>29</v>
      </c>
      <c r="F781" s="1" t="s">
        <v>30</v>
      </c>
      <c r="G781" s="1" t="s">
        <v>31</v>
      </c>
      <c r="H781" s="1"/>
      <c r="I781" s="1">
        <v>2020</v>
      </c>
      <c r="J781" s="1">
        <v>2021</v>
      </c>
      <c r="K781" s="1">
        <v>2022</v>
      </c>
      <c r="L781" s="1">
        <v>2023</v>
      </c>
      <c r="M781" s="1">
        <v>2024</v>
      </c>
      <c r="N781" s="1">
        <v>2025</v>
      </c>
    </row>
    <row r="782" spans="1:14" x14ac:dyDescent="0.35">
      <c r="A782" s="1" t="str">
        <f>IF($B$779="Y",'[7]Population Definitions'!$A$3,"...")</f>
        <v>asx_hm</v>
      </c>
      <c r="B782" s="4" t="str">
        <f>IF($B$779="Y","---&gt;","...")</f>
        <v>---&gt;</v>
      </c>
      <c r="C782" s="1" t="str">
        <f>IF($B$779="Y",'[7]Population Definitions'!$A$15,"...")</f>
        <v>stunting_hm</v>
      </c>
      <c r="D782" t="s">
        <v>32</v>
      </c>
      <c r="E782" s="3" t="s">
        <v>118</v>
      </c>
      <c r="F782" s="3"/>
      <c r="G782" s="3">
        <v>1</v>
      </c>
      <c r="H782" s="4" t="str">
        <f>IF($B$779="Y","OR","...")</f>
        <v>OR</v>
      </c>
      <c r="I782" s="3"/>
      <c r="J782" s="3"/>
      <c r="K782" s="3"/>
      <c r="L782" s="3"/>
      <c r="M782" s="3"/>
      <c r="N782" s="3"/>
    </row>
    <row r="784" spans="1:14" x14ac:dyDescent="0.35">
      <c r="A784" s="1" t="s">
        <v>0</v>
      </c>
      <c r="B784" s="1" t="s">
        <v>1</v>
      </c>
      <c r="C784" s="1" t="s">
        <v>144</v>
      </c>
      <c r="D784" s="1" t="s">
        <v>145</v>
      </c>
    </row>
    <row r="785" spans="1:14" x14ac:dyDescent="0.35">
      <c r="A785" t="s">
        <v>262</v>
      </c>
      <c r="B785" t="s">
        <v>262</v>
      </c>
      <c r="C785" t="s">
        <v>15</v>
      </c>
      <c r="D785" t="s">
        <v>25</v>
      </c>
    </row>
    <row r="787" spans="1:14" x14ac:dyDescent="0.35">
      <c r="B787" s="1" t="str">
        <f>'[7]Population Definitions'!$A$15</f>
        <v>stunting_hm</v>
      </c>
    </row>
    <row r="788" spans="1:14" x14ac:dyDescent="0.35">
      <c r="A788" s="1" t="str">
        <f>'[7]Population Definitions'!$A$10</f>
        <v>oth_hm</v>
      </c>
      <c r="B788" s="5" t="s">
        <v>146</v>
      </c>
    </row>
    <row r="790" spans="1:14" x14ac:dyDescent="0.35">
      <c r="A790" s="1" t="s">
        <v>147</v>
      </c>
      <c r="B790" s="1"/>
      <c r="C790" s="1" t="s">
        <v>148</v>
      </c>
      <c r="D790" s="1" t="s">
        <v>28</v>
      </c>
      <c r="E790" s="1" t="s">
        <v>29</v>
      </c>
      <c r="F790" s="1" t="s">
        <v>30</v>
      </c>
      <c r="G790" s="1" t="s">
        <v>31</v>
      </c>
      <c r="H790" s="1"/>
      <c r="I790" s="1">
        <v>2020</v>
      </c>
      <c r="J790" s="1">
        <v>2021</v>
      </c>
      <c r="K790" s="1">
        <v>2022</v>
      </c>
      <c r="L790" s="1">
        <v>2023</v>
      </c>
      <c r="M790" s="1">
        <v>2024</v>
      </c>
      <c r="N790" s="1">
        <v>2025</v>
      </c>
    </row>
    <row r="791" spans="1:14" x14ac:dyDescent="0.35">
      <c r="A791" s="1" t="str">
        <f>IF($B$788="Y",'[7]Population Definitions'!$A$10,"...")</f>
        <v>oth_hm</v>
      </c>
      <c r="B791" s="4" t="str">
        <f>IF($B$788="Y","---&gt;","...")</f>
        <v>---&gt;</v>
      </c>
      <c r="C791" s="1" t="str">
        <f>IF($B$788="Y",'[7]Population Definitions'!$A$15,"...")</f>
        <v>stunting_hm</v>
      </c>
      <c r="D791" t="s">
        <v>32</v>
      </c>
      <c r="E791" s="3" t="s">
        <v>118</v>
      </c>
      <c r="F791" s="3"/>
      <c r="G791" s="3">
        <v>1</v>
      </c>
      <c r="H791" s="4" t="str">
        <f>IF($B$788="Y","OR","...")</f>
        <v>OR</v>
      </c>
      <c r="I791" s="3"/>
      <c r="J791" s="3"/>
      <c r="K791" s="3"/>
      <c r="L791" s="3"/>
      <c r="M791" s="3"/>
      <c r="N791" s="3"/>
    </row>
    <row r="793" spans="1:14" x14ac:dyDescent="0.35">
      <c r="A793" s="1" t="s">
        <v>0</v>
      </c>
      <c r="B793" s="1" t="s">
        <v>1</v>
      </c>
      <c r="C793" s="1" t="s">
        <v>144</v>
      </c>
      <c r="D793" s="1" t="s">
        <v>145</v>
      </c>
    </row>
    <row r="794" spans="1:14" x14ac:dyDescent="0.35">
      <c r="A794" t="s">
        <v>263</v>
      </c>
      <c r="B794" t="s">
        <v>263</v>
      </c>
      <c r="C794" t="s">
        <v>21</v>
      </c>
      <c r="D794" t="s">
        <v>25</v>
      </c>
    </row>
    <row r="796" spans="1:14" x14ac:dyDescent="0.35">
      <c r="B796" s="1" t="str">
        <f>'[7]Population Definitions'!$A$15</f>
        <v>stunting_hm</v>
      </c>
    </row>
    <row r="797" spans="1:14" x14ac:dyDescent="0.35">
      <c r="A797" s="1" t="str">
        <f>'[7]Population Definitions'!$A$13</f>
        <v>rds_hm</v>
      </c>
      <c r="B797" s="5" t="s">
        <v>146</v>
      </c>
    </row>
    <row r="799" spans="1:14" x14ac:dyDescent="0.35">
      <c r="A799" s="1" t="s">
        <v>147</v>
      </c>
      <c r="B799" s="1"/>
      <c r="C799" s="1" t="s">
        <v>148</v>
      </c>
      <c r="D799" s="1" t="s">
        <v>28</v>
      </c>
      <c r="E799" s="1" t="s">
        <v>29</v>
      </c>
      <c r="F799" s="1" t="s">
        <v>30</v>
      </c>
      <c r="G799" s="1" t="s">
        <v>31</v>
      </c>
      <c r="H799" s="1"/>
      <c r="I799" s="1">
        <v>2020</v>
      </c>
      <c r="J799" s="1">
        <v>2021</v>
      </c>
      <c r="K799" s="1">
        <v>2022</v>
      </c>
      <c r="L799" s="1">
        <v>2023</v>
      </c>
      <c r="M799" s="1">
        <v>2024</v>
      </c>
      <c r="N799" s="1">
        <v>2025</v>
      </c>
    </row>
    <row r="800" spans="1:14" x14ac:dyDescent="0.35">
      <c r="A800" s="1" t="str">
        <f>IF($B$797="Y",'[7]Population Definitions'!$A$13,"...")</f>
        <v>rds_hm</v>
      </c>
      <c r="B800" s="4" t="str">
        <f>IF($B$797="Y","---&gt;","...")</f>
        <v>---&gt;</v>
      </c>
      <c r="C800" s="1" t="str">
        <f>IF($B$797="Y",'[7]Population Definitions'!$A$15,"...")</f>
        <v>stunting_hm</v>
      </c>
      <c r="D800" t="s">
        <v>32</v>
      </c>
      <c r="E800" s="3" t="s">
        <v>118</v>
      </c>
      <c r="F800" s="3"/>
      <c r="G800" s="3">
        <v>1</v>
      </c>
      <c r="H800" s="4" t="str">
        <f>IF($B$797="Y","OR","...")</f>
        <v>OR</v>
      </c>
      <c r="I800" s="3"/>
      <c r="J800" s="3"/>
      <c r="K800" s="3"/>
      <c r="L800" s="3"/>
      <c r="M800" s="3"/>
      <c r="N800" s="3"/>
    </row>
    <row r="802" spans="1:14" x14ac:dyDescent="0.35">
      <c r="A802" s="1" t="s">
        <v>0</v>
      </c>
      <c r="B802" s="1" t="s">
        <v>1</v>
      </c>
      <c r="C802" s="1" t="s">
        <v>144</v>
      </c>
      <c r="D802" s="1" t="s">
        <v>145</v>
      </c>
    </row>
    <row r="803" spans="1:14" x14ac:dyDescent="0.35">
      <c r="A803" t="s">
        <v>264</v>
      </c>
      <c r="B803" t="s">
        <v>264</v>
      </c>
      <c r="C803" t="s">
        <v>25</v>
      </c>
      <c r="D803" t="s">
        <v>25</v>
      </c>
    </row>
    <row r="805" spans="1:14" x14ac:dyDescent="0.35">
      <c r="B805" s="1" t="str">
        <f>'[7]Population Definitions'!$A$15</f>
        <v>stunting_hm</v>
      </c>
    </row>
    <row r="806" spans="1:14" x14ac:dyDescent="0.35">
      <c r="A806" s="1" t="str">
        <f>'[7]Population Definitions'!$A$15</f>
        <v>stunting_hm</v>
      </c>
      <c r="B806" s="5" t="s">
        <v>146</v>
      </c>
    </row>
    <row r="808" spans="1:14" x14ac:dyDescent="0.35">
      <c r="A808" s="1" t="s">
        <v>147</v>
      </c>
      <c r="B808" s="1"/>
      <c r="C808" s="1" t="s">
        <v>148</v>
      </c>
      <c r="D808" s="1" t="s">
        <v>28</v>
      </c>
      <c r="E808" s="1" t="s">
        <v>29</v>
      </c>
      <c r="F808" s="1" t="s">
        <v>30</v>
      </c>
      <c r="G808" s="1" t="s">
        <v>31</v>
      </c>
      <c r="H808" s="1"/>
      <c r="I808" s="1">
        <v>2020</v>
      </c>
      <c r="J808" s="1">
        <v>2021</v>
      </c>
      <c r="K808" s="1">
        <v>2022</v>
      </c>
      <c r="L808" s="1">
        <v>2023</v>
      </c>
      <c r="M808" s="1">
        <v>2024</v>
      </c>
      <c r="N808" s="1">
        <v>2025</v>
      </c>
    </row>
    <row r="809" spans="1:14" x14ac:dyDescent="0.35">
      <c r="A809" s="1" t="str">
        <f>IF($B$806="Y",'[7]Population Definitions'!$A$15,"...")</f>
        <v>stunting_hm</v>
      </c>
      <c r="B809" s="4" t="str">
        <f>IF($B$806="Y","---&gt;","...")</f>
        <v>---&gt;</v>
      </c>
      <c r="C809" s="1" t="str">
        <f>IF($B$806="Y",'[7]Population Definitions'!$A$15,"...")</f>
        <v>stunting_hm</v>
      </c>
      <c r="D809" t="s">
        <v>32</v>
      </c>
      <c r="E809" s="3" t="s">
        <v>118</v>
      </c>
      <c r="F809" s="3"/>
      <c r="G809" s="3">
        <v>1</v>
      </c>
      <c r="H809" s="4" t="str">
        <f>IF($B$806="Y","OR","...")</f>
        <v>OR</v>
      </c>
      <c r="I809" s="3"/>
      <c r="J809" s="3"/>
      <c r="K809" s="3"/>
      <c r="L809" s="3"/>
      <c r="M809" s="3"/>
      <c r="N809" s="3"/>
    </row>
  </sheetData>
  <conditionalFormatting sqref="B5">
    <cfRule type="cellIs" dxfId="449" priority="1" operator="equal">
      <formula>"Y"</formula>
    </cfRule>
    <cfRule type="cellIs" dxfId="448" priority="2" operator="equal">
      <formula>"N"</formula>
    </cfRule>
  </conditionalFormatting>
  <conditionalFormatting sqref="B14">
    <cfRule type="cellIs" dxfId="447" priority="6" operator="equal">
      <formula>"Y"</formula>
    </cfRule>
    <cfRule type="cellIs" dxfId="446" priority="7" operator="equal">
      <formula>"N"</formula>
    </cfRule>
  </conditionalFormatting>
  <conditionalFormatting sqref="B23">
    <cfRule type="cellIs" dxfId="445" priority="11" operator="equal">
      <formula>"Y"</formula>
    </cfRule>
    <cfRule type="cellIs" dxfId="444" priority="12" operator="equal">
      <formula>"N"</formula>
    </cfRule>
  </conditionalFormatting>
  <conditionalFormatting sqref="B32">
    <cfRule type="cellIs" dxfId="443" priority="17" operator="equal">
      <formula>"N"</formula>
    </cfRule>
    <cfRule type="cellIs" dxfId="442" priority="16" operator="equal">
      <formula>"Y"</formula>
    </cfRule>
  </conditionalFormatting>
  <conditionalFormatting sqref="B41">
    <cfRule type="cellIs" dxfId="441" priority="21" operator="equal">
      <formula>"Y"</formula>
    </cfRule>
    <cfRule type="cellIs" dxfId="440" priority="22" operator="equal">
      <formula>"N"</formula>
    </cfRule>
  </conditionalFormatting>
  <conditionalFormatting sqref="B50">
    <cfRule type="cellIs" dxfId="439" priority="27" operator="equal">
      <formula>"N"</formula>
    </cfRule>
    <cfRule type="cellIs" dxfId="438" priority="26" operator="equal">
      <formula>"Y"</formula>
    </cfRule>
  </conditionalFormatting>
  <conditionalFormatting sqref="B59">
    <cfRule type="cellIs" dxfId="437" priority="31" operator="equal">
      <formula>"Y"</formula>
    </cfRule>
    <cfRule type="cellIs" dxfId="436" priority="32" operator="equal">
      <formula>"N"</formula>
    </cfRule>
  </conditionalFormatting>
  <conditionalFormatting sqref="B68">
    <cfRule type="cellIs" dxfId="435" priority="36" operator="equal">
      <formula>"Y"</formula>
    </cfRule>
    <cfRule type="cellIs" dxfId="434" priority="37" operator="equal">
      <formula>"N"</formula>
    </cfRule>
  </conditionalFormatting>
  <conditionalFormatting sqref="B77">
    <cfRule type="cellIs" dxfId="433" priority="42" operator="equal">
      <formula>"N"</formula>
    </cfRule>
    <cfRule type="cellIs" dxfId="432" priority="41" operator="equal">
      <formula>"Y"</formula>
    </cfRule>
  </conditionalFormatting>
  <conditionalFormatting sqref="B86">
    <cfRule type="cellIs" dxfId="431" priority="46" operator="equal">
      <formula>"Y"</formula>
    </cfRule>
    <cfRule type="cellIs" dxfId="430" priority="47" operator="equal">
      <formula>"N"</formula>
    </cfRule>
  </conditionalFormatting>
  <conditionalFormatting sqref="B95">
    <cfRule type="cellIs" dxfId="429" priority="51" operator="equal">
      <formula>"Y"</formula>
    </cfRule>
    <cfRule type="cellIs" dxfId="428" priority="52" operator="equal">
      <formula>"N"</formula>
    </cfRule>
  </conditionalFormatting>
  <conditionalFormatting sqref="B104">
    <cfRule type="cellIs" dxfId="427" priority="56" operator="equal">
      <formula>"Y"</formula>
    </cfRule>
    <cfRule type="cellIs" dxfId="426" priority="57" operator="equal">
      <formula>"N"</formula>
    </cfRule>
  </conditionalFormatting>
  <conditionalFormatting sqref="B113">
    <cfRule type="cellIs" dxfId="425" priority="62" operator="equal">
      <formula>"N"</formula>
    </cfRule>
    <cfRule type="cellIs" dxfId="424" priority="61" operator="equal">
      <formula>"Y"</formula>
    </cfRule>
  </conditionalFormatting>
  <conditionalFormatting sqref="B122">
    <cfRule type="cellIs" dxfId="423" priority="67" operator="equal">
      <formula>"N"</formula>
    </cfRule>
    <cfRule type="cellIs" dxfId="422" priority="66" operator="equal">
      <formula>"Y"</formula>
    </cfRule>
  </conditionalFormatting>
  <conditionalFormatting sqref="B131">
    <cfRule type="cellIs" dxfId="421" priority="72" operator="equal">
      <formula>"N"</formula>
    </cfRule>
    <cfRule type="cellIs" dxfId="420" priority="71" operator="equal">
      <formula>"Y"</formula>
    </cfRule>
  </conditionalFormatting>
  <conditionalFormatting sqref="B140">
    <cfRule type="cellIs" dxfId="419" priority="77" operator="equal">
      <formula>"N"</formula>
    </cfRule>
    <cfRule type="cellIs" dxfId="418" priority="76" operator="equal">
      <formula>"Y"</formula>
    </cfRule>
  </conditionalFormatting>
  <conditionalFormatting sqref="B149">
    <cfRule type="cellIs" dxfId="417" priority="82" operator="equal">
      <formula>"N"</formula>
    </cfRule>
    <cfRule type="cellIs" dxfId="416" priority="81" operator="equal">
      <formula>"Y"</formula>
    </cfRule>
  </conditionalFormatting>
  <conditionalFormatting sqref="B158">
    <cfRule type="cellIs" dxfId="415" priority="87" operator="equal">
      <formula>"N"</formula>
    </cfRule>
    <cfRule type="cellIs" dxfId="414" priority="86" operator="equal">
      <formula>"Y"</formula>
    </cfRule>
  </conditionalFormatting>
  <conditionalFormatting sqref="B167">
    <cfRule type="cellIs" dxfId="413" priority="92" operator="equal">
      <formula>"N"</formula>
    </cfRule>
    <cfRule type="cellIs" dxfId="412" priority="91" operator="equal">
      <formula>"Y"</formula>
    </cfRule>
  </conditionalFormatting>
  <conditionalFormatting sqref="B176">
    <cfRule type="cellIs" dxfId="411" priority="97" operator="equal">
      <formula>"N"</formula>
    </cfRule>
    <cfRule type="cellIs" dxfId="410" priority="96" operator="equal">
      <formula>"Y"</formula>
    </cfRule>
  </conditionalFormatting>
  <conditionalFormatting sqref="B185">
    <cfRule type="cellIs" dxfId="409" priority="101" operator="equal">
      <formula>"Y"</formula>
    </cfRule>
    <cfRule type="cellIs" dxfId="408" priority="102" operator="equal">
      <formula>"N"</formula>
    </cfRule>
  </conditionalFormatting>
  <conditionalFormatting sqref="B194">
    <cfRule type="cellIs" dxfId="407" priority="107" operator="equal">
      <formula>"N"</formula>
    </cfRule>
    <cfRule type="cellIs" dxfId="406" priority="106" operator="equal">
      <formula>"Y"</formula>
    </cfRule>
  </conditionalFormatting>
  <conditionalFormatting sqref="B203">
    <cfRule type="cellIs" dxfId="405" priority="111" operator="equal">
      <formula>"Y"</formula>
    </cfRule>
    <cfRule type="cellIs" dxfId="404" priority="112" operator="equal">
      <formula>"N"</formula>
    </cfRule>
  </conditionalFormatting>
  <conditionalFormatting sqref="B212">
    <cfRule type="cellIs" dxfId="403" priority="116" operator="equal">
      <formula>"Y"</formula>
    </cfRule>
    <cfRule type="cellIs" dxfId="402" priority="117" operator="equal">
      <formula>"N"</formula>
    </cfRule>
  </conditionalFormatting>
  <conditionalFormatting sqref="B221">
    <cfRule type="cellIs" dxfId="401" priority="122" operator="equal">
      <formula>"N"</formula>
    </cfRule>
    <cfRule type="cellIs" dxfId="400" priority="121" operator="equal">
      <formula>"Y"</formula>
    </cfRule>
  </conditionalFormatting>
  <conditionalFormatting sqref="B230">
    <cfRule type="cellIs" dxfId="399" priority="126" operator="equal">
      <formula>"Y"</formula>
    </cfRule>
    <cfRule type="cellIs" dxfId="398" priority="127" operator="equal">
      <formula>"N"</formula>
    </cfRule>
  </conditionalFormatting>
  <conditionalFormatting sqref="B239">
    <cfRule type="cellIs" dxfId="397" priority="131" operator="equal">
      <formula>"Y"</formula>
    </cfRule>
    <cfRule type="cellIs" dxfId="396" priority="132" operator="equal">
      <formula>"N"</formula>
    </cfRule>
  </conditionalFormatting>
  <conditionalFormatting sqref="B248">
    <cfRule type="cellIs" dxfId="395" priority="136" operator="equal">
      <formula>"Y"</formula>
    </cfRule>
    <cfRule type="cellIs" dxfId="394" priority="137" operator="equal">
      <formula>"N"</formula>
    </cfRule>
  </conditionalFormatting>
  <conditionalFormatting sqref="B257">
    <cfRule type="cellIs" dxfId="393" priority="141" operator="equal">
      <formula>"Y"</formula>
    </cfRule>
    <cfRule type="cellIs" dxfId="392" priority="142" operator="equal">
      <formula>"N"</formula>
    </cfRule>
  </conditionalFormatting>
  <conditionalFormatting sqref="B266">
    <cfRule type="cellIs" dxfId="391" priority="146" operator="equal">
      <formula>"Y"</formula>
    </cfRule>
    <cfRule type="cellIs" dxfId="390" priority="147" operator="equal">
      <formula>"N"</formula>
    </cfRule>
  </conditionalFormatting>
  <conditionalFormatting sqref="B275">
    <cfRule type="cellIs" dxfId="389" priority="152" operator="equal">
      <formula>"N"</formula>
    </cfRule>
    <cfRule type="cellIs" dxfId="388" priority="151" operator="equal">
      <formula>"Y"</formula>
    </cfRule>
  </conditionalFormatting>
  <conditionalFormatting sqref="B284">
    <cfRule type="cellIs" dxfId="387" priority="156" operator="equal">
      <formula>"Y"</formula>
    </cfRule>
    <cfRule type="cellIs" dxfId="386" priority="157" operator="equal">
      <formula>"N"</formula>
    </cfRule>
  </conditionalFormatting>
  <conditionalFormatting sqref="B293">
    <cfRule type="cellIs" dxfId="385" priority="161" operator="equal">
      <formula>"Y"</formula>
    </cfRule>
    <cfRule type="cellIs" dxfId="384" priority="162" operator="equal">
      <formula>"N"</formula>
    </cfRule>
  </conditionalFormatting>
  <conditionalFormatting sqref="B302">
    <cfRule type="cellIs" dxfId="383" priority="167" operator="equal">
      <formula>"N"</formula>
    </cfRule>
    <cfRule type="cellIs" dxfId="382" priority="166" operator="equal">
      <formula>"Y"</formula>
    </cfRule>
  </conditionalFormatting>
  <conditionalFormatting sqref="B311">
    <cfRule type="cellIs" dxfId="381" priority="172" operator="equal">
      <formula>"N"</formula>
    </cfRule>
    <cfRule type="cellIs" dxfId="380" priority="171" operator="equal">
      <formula>"Y"</formula>
    </cfRule>
  </conditionalFormatting>
  <conditionalFormatting sqref="B320">
    <cfRule type="cellIs" dxfId="379" priority="177" operator="equal">
      <formula>"N"</formula>
    </cfRule>
    <cfRule type="cellIs" dxfId="378" priority="176" operator="equal">
      <formula>"Y"</formula>
    </cfRule>
  </conditionalFormatting>
  <conditionalFormatting sqref="B329">
    <cfRule type="cellIs" dxfId="377" priority="181" operator="equal">
      <formula>"Y"</formula>
    </cfRule>
    <cfRule type="cellIs" dxfId="376" priority="182" operator="equal">
      <formula>"N"</formula>
    </cfRule>
  </conditionalFormatting>
  <conditionalFormatting sqref="B338">
    <cfRule type="cellIs" dxfId="375" priority="186" operator="equal">
      <formula>"Y"</formula>
    </cfRule>
    <cfRule type="cellIs" dxfId="374" priority="187" operator="equal">
      <formula>"N"</formula>
    </cfRule>
  </conditionalFormatting>
  <conditionalFormatting sqref="B347">
    <cfRule type="cellIs" dxfId="373" priority="192" operator="equal">
      <formula>"N"</formula>
    </cfRule>
    <cfRule type="cellIs" dxfId="372" priority="191" operator="equal">
      <formula>"Y"</formula>
    </cfRule>
  </conditionalFormatting>
  <conditionalFormatting sqref="B356">
    <cfRule type="cellIs" dxfId="371" priority="197" operator="equal">
      <formula>"N"</formula>
    </cfRule>
    <cfRule type="cellIs" dxfId="370" priority="196" operator="equal">
      <formula>"Y"</formula>
    </cfRule>
  </conditionalFormatting>
  <conditionalFormatting sqref="B365">
    <cfRule type="cellIs" dxfId="369" priority="201" operator="equal">
      <formula>"Y"</formula>
    </cfRule>
    <cfRule type="cellIs" dxfId="368" priority="202" operator="equal">
      <formula>"N"</formula>
    </cfRule>
  </conditionalFormatting>
  <conditionalFormatting sqref="B374">
    <cfRule type="cellIs" dxfId="367" priority="206" operator="equal">
      <formula>"Y"</formula>
    </cfRule>
    <cfRule type="cellIs" dxfId="366" priority="207" operator="equal">
      <formula>"N"</formula>
    </cfRule>
  </conditionalFormatting>
  <conditionalFormatting sqref="B383">
    <cfRule type="cellIs" dxfId="365" priority="211" operator="equal">
      <formula>"Y"</formula>
    </cfRule>
    <cfRule type="cellIs" dxfId="364" priority="212" operator="equal">
      <formula>"N"</formula>
    </cfRule>
  </conditionalFormatting>
  <conditionalFormatting sqref="B392">
    <cfRule type="cellIs" dxfId="363" priority="216" operator="equal">
      <formula>"Y"</formula>
    </cfRule>
    <cfRule type="cellIs" dxfId="362" priority="217" operator="equal">
      <formula>"N"</formula>
    </cfRule>
  </conditionalFormatting>
  <conditionalFormatting sqref="B401">
    <cfRule type="cellIs" dxfId="361" priority="221" operator="equal">
      <formula>"Y"</formula>
    </cfRule>
    <cfRule type="cellIs" dxfId="360" priority="222" operator="equal">
      <formula>"N"</formula>
    </cfRule>
  </conditionalFormatting>
  <conditionalFormatting sqref="B410">
    <cfRule type="cellIs" dxfId="359" priority="227" operator="equal">
      <formula>"N"</formula>
    </cfRule>
    <cfRule type="cellIs" dxfId="358" priority="226" operator="equal">
      <formula>"Y"</formula>
    </cfRule>
  </conditionalFormatting>
  <conditionalFormatting sqref="B419">
    <cfRule type="cellIs" dxfId="357" priority="231" operator="equal">
      <formula>"Y"</formula>
    </cfRule>
    <cfRule type="cellIs" dxfId="356" priority="232" operator="equal">
      <formula>"N"</formula>
    </cfRule>
  </conditionalFormatting>
  <conditionalFormatting sqref="B428">
    <cfRule type="cellIs" dxfId="355" priority="236" operator="equal">
      <formula>"Y"</formula>
    </cfRule>
    <cfRule type="cellIs" dxfId="354" priority="237" operator="equal">
      <formula>"N"</formula>
    </cfRule>
  </conditionalFormatting>
  <conditionalFormatting sqref="B437">
    <cfRule type="cellIs" dxfId="353" priority="242" operator="equal">
      <formula>"N"</formula>
    </cfRule>
    <cfRule type="cellIs" dxfId="352" priority="241" operator="equal">
      <formula>"Y"</formula>
    </cfRule>
  </conditionalFormatting>
  <conditionalFormatting sqref="B446">
    <cfRule type="cellIs" dxfId="351" priority="247" operator="equal">
      <formula>"N"</formula>
    </cfRule>
    <cfRule type="cellIs" dxfId="350" priority="246" operator="equal">
      <formula>"Y"</formula>
    </cfRule>
  </conditionalFormatting>
  <conditionalFormatting sqref="B455">
    <cfRule type="cellIs" dxfId="349" priority="252" operator="equal">
      <formula>"N"</formula>
    </cfRule>
    <cfRule type="cellIs" dxfId="348" priority="251" operator="equal">
      <formula>"Y"</formula>
    </cfRule>
  </conditionalFormatting>
  <conditionalFormatting sqref="B464">
    <cfRule type="cellIs" dxfId="347" priority="256" operator="equal">
      <formula>"Y"</formula>
    </cfRule>
    <cfRule type="cellIs" dxfId="346" priority="257" operator="equal">
      <formula>"N"</formula>
    </cfRule>
  </conditionalFormatting>
  <conditionalFormatting sqref="B473">
    <cfRule type="cellIs" dxfId="345" priority="261" operator="equal">
      <formula>"Y"</formula>
    </cfRule>
    <cfRule type="cellIs" dxfId="344" priority="262" operator="equal">
      <formula>"N"</formula>
    </cfRule>
  </conditionalFormatting>
  <conditionalFormatting sqref="B482">
    <cfRule type="cellIs" dxfId="343" priority="267" operator="equal">
      <formula>"N"</formula>
    </cfRule>
    <cfRule type="cellIs" dxfId="342" priority="266" operator="equal">
      <formula>"Y"</formula>
    </cfRule>
  </conditionalFormatting>
  <conditionalFormatting sqref="B491">
    <cfRule type="cellIs" dxfId="341" priority="272" operator="equal">
      <formula>"N"</formula>
    </cfRule>
    <cfRule type="cellIs" dxfId="340" priority="271" operator="equal">
      <formula>"Y"</formula>
    </cfRule>
  </conditionalFormatting>
  <conditionalFormatting sqref="B500">
    <cfRule type="cellIs" dxfId="339" priority="276" operator="equal">
      <formula>"Y"</formula>
    </cfRule>
    <cfRule type="cellIs" dxfId="338" priority="277" operator="equal">
      <formula>"N"</formula>
    </cfRule>
  </conditionalFormatting>
  <conditionalFormatting sqref="B509">
    <cfRule type="cellIs" dxfId="337" priority="281" operator="equal">
      <formula>"Y"</formula>
    </cfRule>
    <cfRule type="cellIs" dxfId="336" priority="282" operator="equal">
      <formula>"N"</formula>
    </cfRule>
  </conditionalFormatting>
  <conditionalFormatting sqref="B518">
    <cfRule type="cellIs" dxfId="335" priority="287" operator="equal">
      <formula>"N"</formula>
    </cfRule>
    <cfRule type="cellIs" dxfId="334" priority="286" operator="equal">
      <formula>"Y"</formula>
    </cfRule>
  </conditionalFormatting>
  <conditionalFormatting sqref="B527">
    <cfRule type="cellIs" dxfId="333" priority="292" operator="equal">
      <formula>"N"</formula>
    </cfRule>
    <cfRule type="cellIs" dxfId="332" priority="291" operator="equal">
      <formula>"Y"</formula>
    </cfRule>
  </conditionalFormatting>
  <conditionalFormatting sqref="B536">
    <cfRule type="cellIs" dxfId="331" priority="297" operator="equal">
      <formula>"N"</formula>
    </cfRule>
    <cfRule type="cellIs" dxfId="330" priority="296" operator="equal">
      <formula>"Y"</formula>
    </cfRule>
  </conditionalFormatting>
  <conditionalFormatting sqref="B545">
    <cfRule type="cellIs" dxfId="329" priority="302" operator="equal">
      <formula>"N"</formula>
    </cfRule>
    <cfRule type="cellIs" dxfId="328" priority="301" operator="equal">
      <formula>"Y"</formula>
    </cfRule>
  </conditionalFormatting>
  <conditionalFormatting sqref="B554">
    <cfRule type="cellIs" dxfId="327" priority="306" operator="equal">
      <formula>"Y"</formula>
    </cfRule>
    <cfRule type="cellIs" dxfId="326" priority="307" operator="equal">
      <formula>"N"</formula>
    </cfRule>
  </conditionalFormatting>
  <conditionalFormatting sqref="B563">
    <cfRule type="cellIs" dxfId="325" priority="311" operator="equal">
      <formula>"Y"</formula>
    </cfRule>
    <cfRule type="cellIs" dxfId="324" priority="312" operator="equal">
      <formula>"N"</formula>
    </cfRule>
  </conditionalFormatting>
  <conditionalFormatting sqref="B572">
    <cfRule type="cellIs" dxfId="323" priority="316" operator="equal">
      <formula>"Y"</formula>
    </cfRule>
    <cfRule type="cellIs" dxfId="322" priority="317" operator="equal">
      <formula>"N"</formula>
    </cfRule>
  </conditionalFormatting>
  <conditionalFormatting sqref="B581">
    <cfRule type="cellIs" dxfId="321" priority="322" operator="equal">
      <formula>"N"</formula>
    </cfRule>
    <cfRule type="cellIs" dxfId="320" priority="321" operator="equal">
      <formula>"Y"</formula>
    </cfRule>
  </conditionalFormatting>
  <conditionalFormatting sqref="B590">
    <cfRule type="cellIs" dxfId="319" priority="327" operator="equal">
      <formula>"N"</formula>
    </cfRule>
    <cfRule type="cellIs" dxfId="318" priority="326" operator="equal">
      <formula>"Y"</formula>
    </cfRule>
  </conditionalFormatting>
  <conditionalFormatting sqref="B599">
    <cfRule type="cellIs" dxfId="317" priority="332" operator="equal">
      <formula>"N"</formula>
    </cfRule>
    <cfRule type="cellIs" dxfId="316" priority="331" operator="equal">
      <formula>"Y"</formula>
    </cfRule>
  </conditionalFormatting>
  <conditionalFormatting sqref="B608">
    <cfRule type="cellIs" dxfId="315" priority="336" operator="equal">
      <formula>"Y"</formula>
    </cfRule>
    <cfRule type="cellIs" dxfId="314" priority="337" operator="equal">
      <formula>"N"</formula>
    </cfRule>
  </conditionalFormatting>
  <conditionalFormatting sqref="B617">
    <cfRule type="cellIs" dxfId="313" priority="341" operator="equal">
      <formula>"Y"</formula>
    </cfRule>
    <cfRule type="cellIs" dxfId="312" priority="342" operator="equal">
      <formula>"N"</formula>
    </cfRule>
  </conditionalFormatting>
  <conditionalFormatting sqref="B626">
    <cfRule type="cellIs" dxfId="311" priority="346" operator="equal">
      <formula>"Y"</formula>
    </cfRule>
    <cfRule type="cellIs" dxfId="310" priority="347" operator="equal">
      <formula>"N"</formula>
    </cfRule>
  </conditionalFormatting>
  <conditionalFormatting sqref="B635">
    <cfRule type="cellIs" dxfId="309" priority="352" operator="equal">
      <formula>"N"</formula>
    </cfRule>
    <cfRule type="cellIs" dxfId="308" priority="351" operator="equal">
      <formula>"Y"</formula>
    </cfRule>
  </conditionalFormatting>
  <conditionalFormatting sqref="B644">
    <cfRule type="cellIs" dxfId="307" priority="357" operator="equal">
      <formula>"N"</formula>
    </cfRule>
    <cfRule type="cellIs" dxfId="306" priority="356" operator="equal">
      <formula>"Y"</formula>
    </cfRule>
  </conditionalFormatting>
  <conditionalFormatting sqref="B653">
    <cfRule type="cellIs" dxfId="305" priority="361" operator="equal">
      <formula>"Y"</formula>
    </cfRule>
    <cfRule type="cellIs" dxfId="304" priority="362" operator="equal">
      <formula>"N"</formula>
    </cfRule>
  </conditionalFormatting>
  <conditionalFormatting sqref="B662">
    <cfRule type="cellIs" dxfId="303" priority="366" operator="equal">
      <formula>"Y"</formula>
    </cfRule>
    <cfRule type="cellIs" dxfId="302" priority="367" operator="equal">
      <formula>"N"</formula>
    </cfRule>
  </conditionalFormatting>
  <conditionalFormatting sqref="B671">
    <cfRule type="cellIs" dxfId="301" priority="371" operator="equal">
      <formula>"Y"</formula>
    </cfRule>
    <cfRule type="cellIs" dxfId="300" priority="372" operator="equal">
      <formula>"N"</formula>
    </cfRule>
  </conditionalFormatting>
  <conditionalFormatting sqref="B680">
    <cfRule type="cellIs" dxfId="299" priority="376" operator="equal">
      <formula>"Y"</formula>
    </cfRule>
    <cfRule type="cellIs" dxfId="298" priority="377" operator="equal">
      <formula>"N"</formula>
    </cfRule>
  </conditionalFormatting>
  <conditionalFormatting sqref="B689">
    <cfRule type="cellIs" dxfId="297" priority="381" operator="equal">
      <formula>"Y"</formula>
    </cfRule>
    <cfRule type="cellIs" dxfId="296" priority="382" operator="equal">
      <formula>"N"</formula>
    </cfRule>
  </conditionalFormatting>
  <conditionalFormatting sqref="B698">
    <cfRule type="cellIs" dxfId="295" priority="387" operator="equal">
      <formula>"N"</formula>
    </cfRule>
    <cfRule type="cellIs" dxfId="294" priority="386" operator="equal">
      <formula>"Y"</formula>
    </cfRule>
  </conditionalFormatting>
  <conditionalFormatting sqref="B707">
    <cfRule type="cellIs" dxfId="293" priority="392" operator="equal">
      <formula>"N"</formula>
    </cfRule>
    <cfRule type="cellIs" dxfId="292" priority="391" operator="equal">
      <formula>"Y"</formula>
    </cfRule>
  </conditionalFormatting>
  <conditionalFormatting sqref="B716">
    <cfRule type="cellIs" dxfId="291" priority="396" operator="equal">
      <formula>"Y"</formula>
    </cfRule>
    <cfRule type="cellIs" dxfId="290" priority="397" operator="equal">
      <formula>"N"</formula>
    </cfRule>
  </conditionalFormatting>
  <conditionalFormatting sqref="B725">
    <cfRule type="cellIs" dxfId="289" priority="401" operator="equal">
      <formula>"Y"</formula>
    </cfRule>
    <cfRule type="cellIs" dxfId="288" priority="402" operator="equal">
      <formula>"N"</formula>
    </cfRule>
  </conditionalFormatting>
  <conditionalFormatting sqref="B734">
    <cfRule type="cellIs" dxfId="287" priority="407" operator="equal">
      <formula>"N"</formula>
    </cfRule>
    <cfRule type="cellIs" dxfId="286" priority="406" operator="equal">
      <formula>"Y"</formula>
    </cfRule>
  </conditionalFormatting>
  <conditionalFormatting sqref="B743">
    <cfRule type="cellIs" dxfId="285" priority="411" operator="equal">
      <formula>"Y"</formula>
    </cfRule>
    <cfRule type="cellIs" dxfId="284" priority="412" operator="equal">
      <formula>"N"</formula>
    </cfRule>
  </conditionalFormatting>
  <conditionalFormatting sqref="B752">
    <cfRule type="cellIs" dxfId="283" priority="416" operator="equal">
      <formula>"Y"</formula>
    </cfRule>
    <cfRule type="cellIs" dxfId="282" priority="417" operator="equal">
      <formula>"N"</formula>
    </cfRule>
  </conditionalFormatting>
  <conditionalFormatting sqref="B761">
    <cfRule type="cellIs" dxfId="281" priority="421" operator="equal">
      <formula>"Y"</formula>
    </cfRule>
    <cfRule type="cellIs" dxfId="280" priority="422" operator="equal">
      <formula>"N"</formula>
    </cfRule>
  </conditionalFormatting>
  <conditionalFormatting sqref="B770">
    <cfRule type="cellIs" dxfId="279" priority="426" operator="equal">
      <formula>"Y"</formula>
    </cfRule>
    <cfRule type="cellIs" dxfId="278" priority="427" operator="equal">
      <formula>"N"</formula>
    </cfRule>
  </conditionalFormatting>
  <conditionalFormatting sqref="B779">
    <cfRule type="cellIs" dxfId="277" priority="431" operator="equal">
      <formula>"Y"</formula>
    </cfRule>
    <cfRule type="cellIs" dxfId="276" priority="432" operator="equal">
      <formula>"N"</formula>
    </cfRule>
  </conditionalFormatting>
  <conditionalFormatting sqref="B788">
    <cfRule type="cellIs" dxfId="275" priority="436" operator="equal">
      <formula>"Y"</formula>
    </cfRule>
    <cfRule type="cellIs" dxfId="274" priority="437" operator="equal">
      <formula>"N"</formula>
    </cfRule>
  </conditionalFormatting>
  <conditionalFormatting sqref="B797">
    <cfRule type="cellIs" dxfId="273" priority="441" operator="equal">
      <formula>"Y"</formula>
    </cfRule>
    <cfRule type="cellIs" dxfId="272" priority="442" operator="equal">
      <formula>"N"</formula>
    </cfRule>
  </conditionalFormatting>
  <conditionalFormatting sqref="B806">
    <cfRule type="cellIs" dxfId="271" priority="447" operator="equal">
      <formula>"N"</formula>
    </cfRule>
    <cfRule type="cellIs" dxfId="270" priority="446" operator="equal">
      <formula>"Y"</formula>
    </cfRule>
  </conditionalFormatting>
  <conditionalFormatting sqref="D8:N8">
    <cfRule type="expression" dxfId="269" priority="5">
      <formula>$B$5&lt;&gt;"Y"</formula>
    </cfRule>
  </conditionalFormatting>
  <conditionalFormatting sqref="D17:N17">
    <cfRule type="expression" dxfId="268" priority="10">
      <formula>$B$14&lt;&gt;"Y"</formula>
    </cfRule>
  </conditionalFormatting>
  <conditionalFormatting sqref="D26:N26">
    <cfRule type="expression" dxfId="267" priority="15">
      <formula>$B$23&lt;&gt;"Y"</formula>
    </cfRule>
  </conditionalFormatting>
  <conditionalFormatting sqref="D35:N35">
    <cfRule type="expression" dxfId="266" priority="20">
      <formula>$B$32&lt;&gt;"Y"</formula>
    </cfRule>
  </conditionalFormatting>
  <conditionalFormatting sqref="D44:N44">
    <cfRule type="expression" dxfId="265" priority="25">
      <formula>$B$41&lt;&gt;"Y"</formula>
    </cfRule>
  </conditionalFormatting>
  <conditionalFormatting sqref="D53:N53">
    <cfRule type="expression" dxfId="264" priority="30">
      <formula>$B$50&lt;&gt;"Y"</formula>
    </cfRule>
  </conditionalFormatting>
  <conditionalFormatting sqref="D62:N62">
    <cfRule type="expression" dxfId="263" priority="35">
      <formula>$B$59&lt;&gt;"Y"</formula>
    </cfRule>
  </conditionalFormatting>
  <conditionalFormatting sqref="D71:N71">
    <cfRule type="expression" dxfId="262" priority="40">
      <formula>$B$68&lt;&gt;"Y"</formula>
    </cfRule>
  </conditionalFormatting>
  <conditionalFormatting sqref="D80:N80">
    <cfRule type="expression" dxfId="261" priority="45">
      <formula>$B$77&lt;&gt;"Y"</formula>
    </cfRule>
  </conditionalFormatting>
  <conditionalFormatting sqref="D89:N89">
    <cfRule type="expression" dxfId="260" priority="50">
      <formula>$B$86&lt;&gt;"Y"</formula>
    </cfRule>
  </conditionalFormatting>
  <conditionalFormatting sqref="D98:N98">
    <cfRule type="expression" dxfId="259" priority="55">
      <formula>$B$95&lt;&gt;"Y"</formula>
    </cfRule>
  </conditionalFormatting>
  <conditionalFormatting sqref="D107:N107">
    <cfRule type="expression" dxfId="258" priority="60">
      <formula>$B$104&lt;&gt;"Y"</formula>
    </cfRule>
  </conditionalFormatting>
  <conditionalFormatting sqref="D116:N116">
    <cfRule type="expression" dxfId="257" priority="65">
      <formula>$B$113&lt;&gt;"Y"</formula>
    </cfRule>
  </conditionalFormatting>
  <conditionalFormatting sqref="D125:N125">
    <cfRule type="expression" dxfId="256" priority="70">
      <formula>$B$122&lt;&gt;"Y"</formula>
    </cfRule>
  </conditionalFormatting>
  <conditionalFormatting sqref="D134:N134">
    <cfRule type="expression" dxfId="255" priority="75">
      <formula>$B$131&lt;&gt;"Y"</formula>
    </cfRule>
  </conditionalFormatting>
  <conditionalFormatting sqref="D143:N143">
    <cfRule type="expression" dxfId="254" priority="80">
      <formula>$B$140&lt;&gt;"Y"</formula>
    </cfRule>
  </conditionalFormatting>
  <conditionalFormatting sqref="D152:N152">
    <cfRule type="expression" dxfId="253" priority="85">
      <formula>$B$149&lt;&gt;"Y"</formula>
    </cfRule>
  </conditionalFormatting>
  <conditionalFormatting sqref="D161:N161">
    <cfRule type="expression" dxfId="252" priority="90">
      <formula>$B$158&lt;&gt;"Y"</formula>
    </cfRule>
  </conditionalFormatting>
  <conditionalFormatting sqref="D170:N170">
    <cfRule type="expression" dxfId="251" priority="95">
      <formula>$B$167&lt;&gt;"Y"</formula>
    </cfRule>
  </conditionalFormatting>
  <conditionalFormatting sqref="D179:N179">
    <cfRule type="expression" dxfId="250" priority="100">
      <formula>$B$176&lt;&gt;"Y"</formula>
    </cfRule>
  </conditionalFormatting>
  <conditionalFormatting sqref="D188:N188">
    <cfRule type="expression" dxfId="249" priority="105">
      <formula>$B$185&lt;&gt;"Y"</formula>
    </cfRule>
  </conditionalFormatting>
  <conditionalFormatting sqref="D197:N197">
    <cfRule type="expression" dxfId="248" priority="110">
      <formula>$B$194&lt;&gt;"Y"</formula>
    </cfRule>
  </conditionalFormatting>
  <conditionalFormatting sqref="D206:N206">
    <cfRule type="expression" dxfId="247" priority="115">
      <formula>$B$203&lt;&gt;"Y"</formula>
    </cfRule>
  </conditionalFormatting>
  <conditionalFormatting sqref="D215:N215">
    <cfRule type="expression" dxfId="246" priority="120">
      <formula>$B$212&lt;&gt;"Y"</formula>
    </cfRule>
  </conditionalFormatting>
  <conditionalFormatting sqref="D224:N224">
    <cfRule type="expression" dxfId="245" priority="125">
      <formula>$B$221&lt;&gt;"Y"</formula>
    </cfRule>
  </conditionalFormatting>
  <conditionalFormatting sqref="D233:N233">
    <cfRule type="expression" dxfId="244" priority="130">
      <formula>$B$230&lt;&gt;"Y"</formula>
    </cfRule>
  </conditionalFormatting>
  <conditionalFormatting sqref="D242:N242">
    <cfRule type="expression" dxfId="243" priority="135">
      <formula>$B$239&lt;&gt;"Y"</formula>
    </cfRule>
  </conditionalFormatting>
  <conditionalFormatting sqref="D251:N251">
    <cfRule type="expression" dxfId="242" priority="140">
      <formula>$B$248&lt;&gt;"Y"</formula>
    </cfRule>
  </conditionalFormatting>
  <conditionalFormatting sqref="D260:N260">
    <cfRule type="expression" dxfId="241" priority="145">
      <formula>$B$257&lt;&gt;"Y"</formula>
    </cfRule>
  </conditionalFormatting>
  <conditionalFormatting sqref="D269:N269">
    <cfRule type="expression" dxfId="240" priority="150">
      <formula>$B$266&lt;&gt;"Y"</formula>
    </cfRule>
  </conditionalFormatting>
  <conditionalFormatting sqref="D278:N278">
    <cfRule type="expression" dxfId="239" priority="155">
      <formula>$B$275&lt;&gt;"Y"</formula>
    </cfRule>
  </conditionalFormatting>
  <conditionalFormatting sqref="D287:N287">
    <cfRule type="expression" dxfId="238" priority="160">
      <formula>$B$284&lt;&gt;"Y"</formula>
    </cfRule>
  </conditionalFormatting>
  <conditionalFormatting sqref="D296:N296">
    <cfRule type="expression" dxfId="237" priority="165">
      <formula>$B$293&lt;&gt;"Y"</formula>
    </cfRule>
  </conditionalFormatting>
  <conditionalFormatting sqref="D305:N305">
    <cfRule type="expression" dxfId="236" priority="170">
      <formula>$B$302&lt;&gt;"Y"</formula>
    </cfRule>
  </conditionalFormatting>
  <conditionalFormatting sqref="D314:N314">
    <cfRule type="expression" dxfId="235" priority="175">
      <formula>$B$311&lt;&gt;"Y"</formula>
    </cfRule>
  </conditionalFormatting>
  <conditionalFormatting sqref="D323:N323">
    <cfRule type="expression" dxfId="234" priority="180">
      <formula>$B$320&lt;&gt;"Y"</formula>
    </cfRule>
  </conditionalFormatting>
  <conditionalFormatting sqref="D332:N332">
    <cfRule type="expression" dxfId="233" priority="185">
      <formula>$B$329&lt;&gt;"Y"</formula>
    </cfRule>
  </conditionalFormatting>
  <conditionalFormatting sqref="D341:N341">
    <cfRule type="expression" dxfId="232" priority="190">
      <formula>$B$338&lt;&gt;"Y"</formula>
    </cfRule>
  </conditionalFormatting>
  <conditionalFormatting sqref="D350:N350">
    <cfRule type="expression" dxfId="231" priority="195">
      <formula>$B$347&lt;&gt;"Y"</formula>
    </cfRule>
  </conditionalFormatting>
  <conditionalFormatting sqref="D359:N359">
    <cfRule type="expression" dxfId="230" priority="200">
      <formula>$B$356&lt;&gt;"Y"</formula>
    </cfRule>
  </conditionalFormatting>
  <conditionalFormatting sqref="D368:N368">
    <cfRule type="expression" dxfId="229" priority="205">
      <formula>$B$365&lt;&gt;"Y"</formula>
    </cfRule>
  </conditionalFormatting>
  <conditionalFormatting sqref="D377:N377">
    <cfRule type="expression" dxfId="228" priority="210">
      <formula>$B$374&lt;&gt;"Y"</formula>
    </cfRule>
  </conditionalFormatting>
  <conditionalFormatting sqref="D386:N386">
    <cfRule type="expression" dxfId="227" priority="215">
      <formula>$B$383&lt;&gt;"Y"</formula>
    </cfRule>
  </conditionalFormatting>
  <conditionalFormatting sqref="D395:N395">
    <cfRule type="expression" dxfId="226" priority="220">
      <formula>$B$392&lt;&gt;"Y"</formula>
    </cfRule>
  </conditionalFormatting>
  <conditionalFormatting sqref="D404:N404">
    <cfRule type="expression" dxfId="225" priority="225">
      <formula>$B$401&lt;&gt;"Y"</formula>
    </cfRule>
  </conditionalFormatting>
  <conditionalFormatting sqref="D413:N413">
    <cfRule type="expression" dxfId="224" priority="230">
      <formula>$B$410&lt;&gt;"Y"</formula>
    </cfRule>
  </conditionalFormatting>
  <conditionalFormatting sqref="D422:N422">
    <cfRule type="expression" dxfId="223" priority="235">
      <formula>$B$419&lt;&gt;"Y"</formula>
    </cfRule>
  </conditionalFormatting>
  <conditionalFormatting sqref="D431:N431">
    <cfRule type="expression" dxfId="222" priority="240">
      <formula>$B$428&lt;&gt;"Y"</formula>
    </cfRule>
  </conditionalFormatting>
  <conditionalFormatting sqref="D440:N440">
    <cfRule type="expression" dxfId="221" priority="245">
      <formula>$B$437&lt;&gt;"Y"</formula>
    </cfRule>
  </conditionalFormatting>
  <conditionalFormatting sqref="D449:N449">
    <cfRule type="expression" dxfId="220" priority="250">
      <formula>$B$446&lt;&gt;"Y"</formula>
    </cfRule>
  </conditionalFormatting>
  <conditionalFormatting sqref="D458:N458">
    <cfRule type="expression" dxfId="219" priority="255">
      <formula>$B$455&lt;&gt;"Y"</formula>
    </cfRule>
  </conditionalFormatting>
  <conditionalFormatting sqref="D467:N467">
    <cfRule type="expression" dxfId="218" priority="260">
      <formula>$B$464&lt;&gt;"Y"</formula>
    </cfRule>
  </conditionalFormatting>
  <conditionalFormatting sqref="D476:N476">
    <cfRule type="expression" dxfId="217" priority="265">
      <formula>$B$473&lt;&gt;"Y"</formula>
    </cfRule>
  </conditionalFormatting>
  <conditionalFormatting sqref="D485:N485">
    <cfRule type="expression" dxfId="216" priority="270">
      <formula>$B$482&lt;&gt;"Y"</formula>
    </cfRule>
  </conditionalFormatting>
  <conditionalFormatting sqref="D494:N494">
    <cfRule type="expression" dxfId="215" priority="275">
      <formula>$B$491&lt;&gt;"Y"</formula>
    </cfRule>
  </conditionalFormatting>
  <conditionalFormatting sqref="D503:N503">
    <cfRule type="expression" dxfId="214" priority="280">
      <formula>$B$500&lt;&gt;"Y"</formula>
    </cfRule>
  </conditionalFormatting>
  <conditionalFormatting sqref="D512:N512">
    <cfRule type="expression" dxfId="213" priority="285">
      <formula>$B$509&lt;&gt;"Y"</formula>
    </cfRule>
  </conditionalFormatting>
  <conditionalFormatting sqref="D521:N521">
    <cfRule type="expression" dxfId="212" priority="290">
      <formula>$B$518&lt;&gt;"Y"</formula>
    </cfRule>
  </conditionalFormatting>
  <conditionalFormatting sqref="D530:N530">
    <cfRule type="expression" dxfId="211" priority="295">
      <formula>$B$527&lt;&gt;"Y"</formula>
    </cfRule>
  </conditionalFormatting>
  <conditionalFormatting sqref="D539:N539">
    <cfRule type="expression" dxfId="210" priority="300">
      <formula>$B$536&lt;&gt;"Y"</formula>
    </cfRule>
  </conditionalFormatting>
  <conditionalFormatting sqref="D548:N548">
    <cfRule type="expression" dxfId="209" priority="305">
      <formula>$B$545&lt;&gt;"Y"</formula>
    </cfRule>
  </conditionalFormatting>
  <conditionalFormatting sqref="D557:N557">
    <cfRule type="expression" dxfId="208" priority="310">
      <formula>$B$554&lt;&gt;"Y"</formula>
    </cfRule>
  </conditionalFormatting>
  <conditionalFormatting sqref="D566:N566">
    <cfRule type="expression" dxfId="207" priority="315">
      <formula>$B$563&lt;&gt;"Y"</formula>
    </cfRule>
  </conditionalFormatting>
  <conditionalFormatting sqref="D575:N575">
    <cfRule type="expression" dxfId="206" priority="320">
      <formula>$B$572&lt;&gt;"Y"</formula>
    </cfRule>
  </conditionalFormatting>
  <conditionalFormatting sqref="D584:N584">
    <cfRule type="expression" dxfId="205" priority="325">
      <formula>$B$581&lt;&gt;"Y"</formula>
    </cfRule>
  </conditionalFormatting>
  <conditionalFormatting sqref="D593:N593">
    <cfRule type="expression" dxfId="204" priority="330">
      <formula>$B$590&lt;&gt;"Y"</formula>
    </cfRule>
  </conditionalFormatting>
  <conditionalFormatting sqref="D602:N602">
    <cfRule type="expression" dxfId="203" priority="335">
      <formula>$B$599&lt;&gt;"Y"</formula>
    </cfRule>
  </conditionalFormatting>
  <conditionalFormatting sqref="D611:N611">
    <cfRule type="expression" dxfId="202" priority="340">
      <formula>$B$608&lt;&gt;"Y"</formula>
    </cfRule>
  </conditionalFormatting>
  <conditionalFormatting sqref="D620:N620">
    <cfRule type="expression" dxfId="201" priority="345">
      <formula>$B$617&lt;&gt;"Y"</formula>
    </cfRule>
  </conditionalFormatting>
  <conditionalFormatting sqref="D629:N629">
    <cfRule type="expression" dxfId="200" priority="350">
      <formula>$B$626&lt;&gt;"Y"</formula>
    </cfRule>
  </conditionalFormatting>
  <conditionalFormatting sqref="D638:N638">
    <cfRule type="expression" dxfId="199" priority="355">
      <formula>$B$635&lt;&gt;"Y"</formula>
    </cfRule>
  </conditionalFormatting>
  <conditionalFormatting sqref="D647:N647">
    <cfRule type="expression" dxfId="198" priority="360">
      <formula>$B$644&lt;&gt;"Y"</formula>
    </cfRule>
  </conditionalFormatting>
  <conditionalFormatting sqref="D656:N656">
    <cfRule type="expression" dxfId="197" priority="365">
      <formula>$B$653&lt;&gt;"Y"</formula>
    </cfRule>
  </conditionalFormatting>
  <conditionalFormatting sqref="D665:N665">
    <cfRule type="expression" dxfId="196" priority="370">
      <formula>$B$662&lt;&gt;"Y"</formula>
    </cfRule>
  </conditionalFormatting>
  <conditionalFormatting sqref="D674:N674">
    <cfRule type="expression" dxfId="195" priority="375">
      <formula>$B$671&lt;&gt;"Y"</formula>
    </cfRule>
  </conditionalFormatting>
  <conditionalFormatting sqref="D683:N683">
    <cfRule type="expression" dxfId="194" priority="380">
      <formula>$B$680&lt;&gt;"Y"</formula>
    </cfRule>
  </conditionalFormatting>
  <conditionalFormatting sqref="D692:N692">
    <cfRule type="expression" dxfId="193" priority="385">
      <formula>$B$689&lt;&gt;"Y"</formula>
    </cfRule>
  </conditionalFormatting>
  <conditionalFormatting sqref="D701:N701">
    <cfRule type="expression" dxfId="192" priority="390">
      <formula>$B$698&lt;&gt;"Y"</formula>
    </cfRule>
  </conditionalFormatting>
  <conditionalFormatting sqref="D710:N710">
    <cfRule type="expression" dxfId="191" priority="395">
      <formula>$B$707&lt;&gt;"Y"</formula>
    </cfRule>
  </conditionalFormatting>
  <conditionalFormatting sqref="D719:N719">
    <cfRule type="expression" dxfId="190" priority="400">
      <formula>$B$716&lt;&gt;"Y"</formula>
    </cfRule>
  </conditionalFormatting>
  <conditionalFormatting sqref="D728:N728">
    <cfRule type="expression" dxfId="189" priority="405">
      <formula>$B$725&lt;&gt;"Y"</formula>
    </cfRule>
  </conditionalFormatting>
  <conditionalFormatting sqref="D737:N737">
    <cfRule type="expression" dxfId="188" priority="410">
      <formula>$B$734&lt;&gt;"Y"</formula>
    </cfRule>
  </conditionalFormatting>
  <conditionalFormatting sqref="D746:N746">
    <cfRule type="expression" dxfId="187" priority="415">
      <formula>$B$743&lt;&gt;"Y"</formula>
    </cfRule>
  </conditionalFormatting>
  <conditionalFormatting sqref="D755:N755">
    <cfRule type="expression" dxfId="186" priority="420">
      <formula>$B$752&lt;&gt;"Y"</formula>
    </cfRule>
  </conditionalFormatting>
  <conditionalFormatting sqref="D764:N764">
    <cfRule type="expression" dxfId="185" priority="425">
      <formula>$B$761&lt;&gt;"Y"</formula>
    </cfRule>
  </conditionalFormatting>
  <conditionalFormatting sqref="D773:N773">
    <cfRule type="expression" dxfId="184" priority="430">
      <formula>$B$770&lt;&gt;"Y"</formula>
    </cfRule>
  </conditionalFormatting>
  <conditionalFormatting sqref="D782:N782">
    <cfRule type="expression" dxfId="183" priority="435">
      <formula>$B$779&lt;&gt;"Y"</formula>
    </cfRule>
  </conditionalFormatting>
  <conditionalFormatting sqref="D791:N791">
    <cfRule type="expression" dxfId="182" priority="440">
      <formula>$B$788&lt;&gt;"Y"</formula>
    </cfRule>
  </conditionalFormatting>
  <conditionalFormatting sqref="D800:N800">
    <cfRule type="expression" dxfId="181" priority="445">
      <formula>$B$797&lt;&gt;"Y"</formula>
    </cfRule>
  </conditionalFormatting>
  <conditionalFormatting sqref="D809:N809">
    <cfRule type="expression" dxfId="180" priority="450">
      <formula>$B$806&lt;&gt;"Y"</formula>
    </cfRule>
  </conditionalFormatting>
  <conditionalFormatting sqref="G8">
    <cfRule type="expression" dxfId="179" priority="4">
      <formula>AND(COUNTIF(I8:N8,"&lt;&gt;" &amp; "")&gt;0,NOT(ISBLANK(G8)))</formula>
    </cfRule>
    <cfRule type="expression" dxfId="178" priority="3">
      <formula>COUNTIF(I8:N8,"&lt;&gt;" &amp; "")&gt;0</formula>
    </cfRule>
  </conditionalFormatting>
  <conditionalFormatting sqref="G17">
    <cfRule type="expression" dxfId="177" priority="8">
      <formula>COUNTIF(I17:N17,"&lt;&gt;" &amp; "")&gt;0</formula>
    </cfRule>
    <cfRule type="expression" dxfId="176" priority="9">
      <formula>AND(COUNTIF(I17:N17,"&lt;&gt;" &amp; "")&gt;0,NOT(ISBLANK(G17)))</formula>
    </cfRule>
  </conditionalFormatting>
  <conditionalFormatting sqref="G26">
    <cfRule type="expression" dxfId="175" priority="13">
      <formula>COUNTIF(I26:N26,"&lt;&gt;" &amp; "")&gt;0</formula>
    </cfRule>
    <cfRule type="expression" dxfId="174" priority="14">
      <formula>AND(COUNTIF(I26:N26,"&lt;&gt;" &amp; "")&gt;0,NOT(ISBLANK(G26)))</formula>
    </cfRule>
  </conditionalFormatting>
  <conditionalFormatting sqref="G35">
    <cfRule type="expression" dxfId="173" priority="18">
      <formula>COUNTIF(I35:N35,"&lt;&gt;" &amp; "")&gt;0</formula>
    </cfRule>
    <cfRule type="expression" dxfId="172" priority="19">
      <formula>AND(COUNTIF(I35:N35,"&lt;&gt;" &amp; "")&gt;0,NOT(ISBLANK(G35)))</formula>
    </cfRule>
  </conditionalFormatting>
  <conditionalFormatting sqref="G44">
    <cfRule type="expression" dxfId="171" priority="23">
      <formula>COUNTIF(I44:N44,"&lt;&gt;" &amp; "")&gt;0</formula>
    </cfRule>
    <cfRule type="expression" dxfId="170" priority="24">
      <formula>AND(COUNTIF(I44:N44,"&lt;&gt;" &amp; "")&gt;0,NOT(ISBLANK(G44)))</formula>
    </cfRule>
  </conditionalFormatting>
  <conditionalFormatting sqref="G53">
    <cfRule type="expression" dxfId="169" priority="28">
      <formula>COUNTIF(I53:N53,"&lt;&gt;" &amp; "")&gt;0</formula>
    </cfRule>
    <cfRule type="expression" dxfId="168" priority="29">
      <formula>AND(COUNTIF(I53:N53,"&lt;&gt;" &amp; "")&gt;0,NOT(ISBLANK(G53)))</formula>
    </cfRule>
  </conditionalFormatting>
  <conditionalFormatting sqref="G62">
    <cfRule type="expression" dxfId="167" priority="34">
      <formula>AND(COUNTIF(I62:N62,"&lt;&gt;" &amp; "")&gt;0,NOT(ISBLANK(G62)))</formula>
    </cfRule>
    <cfRule type="expression" dxfId="166" priority="33">
      <formula>COUNTIF(I62:N62,"&lt;&gt;" &amp; "")&gt;0</formula>
    </cfRule>
  </conditionalFormatting>
  <conditionalFormatting sqref="G71">
    <cfRule type="expression" dxfId="165" priority="38">
      <formula>COUNTIF(I71:N71,"&lt;&gt;" &amp; "")&gt;0</formula>
    </cfRule>
    <cfRule type="expression" dxfId="164" priority="39">
      <formula>AND(COUNTIF(I71:N71,"&lt;&gt;" &amp; "")&gt;0,NOT(ISBLANK(G71)))</formula>
    </cfRule>
  </conditionalFormatting>
  <conditionalFormatting sqref="G80">
    <cfRule type="expression" dxfId="163" priority="43">
      <formula>COUNTIF(I80:N80,"&lt;&gt;" &amp; "")&gt;0</formula>
    </cfRule>
    <cfRule type="expression" dxfId="162" priority="44">
      <formula>AND(COUNTIF(I80:N80,"&lt;&gt;" &amp; "")&gt;0,NOT(ISBLANK(G80)))</formula>
    </cfRule>
  </conditionalFormatting>
  <conditionalFormatting sqref="G89">
    <cfRule type="expression" dxfId="161" priority="48">
      <formula>COUNTIF(I89:N89,"&lt;&gt;" &amp; "")&gt;0</formula>
    </cfRule>
    <cfRule type="expression" dxfId="160" priority="49">
      <formula>AND(COUNTIF(I89:N89,"&lt;&gt;" &amp; "")&gt;0,NOT(ISBLANK(G89)))</formula>
    </cfRule>
  </conditionalFormatting>
  <conditionalFormatting sqref="G98">
    <cfRule type="expression" dxfId="159" priority="53">
      <formula>COUNTIF(I98:N98,"&lt;&gt;" &amp; "")&gt;0</formula>
    </cfRule>
    <cfRule type="expression" dxfId="158" priority="54">
      <formula>AND(COUNTIF(I98:N98,"&lt;&gt;" &amp; "")&gt;0,NOT(ISBLANK(G98)))</formula>
    </cfRule>
  </conditionalFormatting>
  <conditionalFormatting sqref="G107">
    <cfRule type="expression" dxfId="157" priority="58">
      <formula>COUNTIF(I107:N107,"&lt;&gt;" &amp; "")&gt;0</formula>
    </cfRule>
    <cfRule type="expression" dxfId="156" priority="59">
      <formula>AND(COUNTIF(I107:N107,"&lt;&gt;" &amp; "")&gt;0,NOT(ISBLANK(G107)))</formula>
    </cfRule>
  </conditionalFormatting>
  <conditionalFormatting sqref="G116">
    <cfRule type="expression" dxfId="155" priority="63">
      <formula>COUNTIF(I116:N116,"&lt;&gt;" &amp; "")&gt;0</formula>
    </cfRule>
    <cfRule type="expression" dxfId="154" priority="64">
      <formula>AND(COUNTIF(I116:N116,"&lt;&gt;" &amp; "")&gt;0,NOT(ISBLANK(G116)))</formula>
    </cfRule>
  </conditionalFormatting>
  <conditionalFormatting sqref="G125">
    <cfRule type="expression" dxfId="153" priority="69">
      <formula>AND(COUNTIF(I125:N125,"&lt;&gt;" &amp; "")&gt;0,NOT(ISBLANK(G125)))</formula>
    </cfRule>
    <cfRule type="expression" dxfId="152" priority="68">
      <formula>COUNTIF(I125:N125,"&lt;&gt;" &amp; "")&gt;0</formula>
    </cfRule>
  </conditionalFormatting>
  <conditionalFormatting sqref="G134">
    <cfRule type="expression" dxfId="151" priority="74">
      <formula>AND(COUNTIF(I134:N134,"&lt;&gt;" &amp; "")&gt;0,NOT(ISBLANK(G134)))</formula>
    </cfRule>
    <cfRule type="expression" dxfId="150" priority="73">
      <formula>COUNTIF(I134:N134,"&lt;&gt;" &amp; "")&gt;0</formula>
    </cfRule>
  </conditionalFormatting>
  <conditionalFormatting sqref="G143">
    <cfRule type="expression" dxfId="149" priority="78">
      <formula>COUNTIF(I143:N143,"&lt;&gt;" &amp; "")&gt;0</formula>
    </cfRule>
    <cfRule type="expression" dxfId="148" priority="79">
      <formula>AND(COUNTIF(I143:N143,"&lt;&gt;" &amp; "")&gt;0,NOT(ISBLANK(G143)))</formula>
    </cfRule>
  </conditionalFormatting>
  <conditionalFormatting sqref="G152">
    <cfRule type="expression" dxfId="147" priority="83">
      <formula>COUNTIF(I152:N152,"&lt;&gt;" &amp; "")&gt;0</formula>
    </cfRule>
    <cfRule type="expression" dxfId="146" priority="84">
      <formula>AND(COUNTIF(I152:N152,"&lt;&gt;" &amp; "")&gt;0,NOT(ISBLANK(G152)))</formula>
    </cfRule>
  </conditionalFormatting>
  <conditionalFormatting sqref="G161">
    <cfRule type="expression" dxfId="145" priority="88">
      <formula>COUNTIF(I161:N161,"&lt;&gt;" &amp; "")&gt;0</formula>
    </cfRule>
    <cfRule type="expression" dxfId="144" priority="89">
      <formula>AND(COUNTIF(I161:N161,"&lt;&gt;" &amp; "")&gt;0,NOT(ISBLANK(G161)))</formula>
    </cfRule>
  </conditionalFormatting>
  <conditionalFormatting sqref="G170">
    <cfRule type="expression" dxfId="143" priority="93">
      <formula>COUNTIF(I170:N170,"&lt;&gt;" &amp; "")&gt;0</formula>
    </cfRule>
    <cfRule type="expression" dxfId="142" priority="94">
      <formula>AND(COUNTIF(I170:N170,"&lt;&gt;" &amp; "")&gt;0,NOT(ISBLANK(G170)))</formula>
    </cfRule>
  </conditionalFormatting>
  <conditionalFormatting sqref="G179">
    <cfRule type="expression" dxfId="141" priority="98">
      <formula>COUNTIF(I179:N179,"&lt;&gt;" &amp; "")&gt;0</formula>
    </cfRule>
    <cfRule type="expression" dxfId="140" priority="99">
      <formula>AND(COUNTIF(I179:N179,"&lt;&gt;" &amp; "")&gt;0,NOT(ISBLANK(G179)))</formula>
    </cfRule>
  </conditionalFormatting>
  <conditionalFormatting sqref="G188">
    <cfRule type="expression" dxfId="139" priority="103">
      <formula>COUNTIF(I188:N188,"&lt;&gt;" &amp; "")&gt;0</formula>
    </cfRule>
    <cfRule type="expression" dxfId="138" priority="104">
      <formula>AND(COUNTIF(I188:N188,"&lt;&gt;" &amp; "")&gt;0,NOT(ISBLANK(G188)))</formula>
    </cfRule>
  </conditionalFormatting>
  <conditionalFormatting sqref="G197">
    <cfRule type="expression" dxfId="137" priority="109">
      <formula>AND(COUNTIF(I197:N197,"&lt;&gt;" &amp; "")&gt;0,NOT(ISBLANK(G197)))</formula>
    </cfRule>
    <cfRule type="expression" dxfId="136" priority="108">
      <formula>COUNTIF(I197:N197,"&lt;&gt;" &amp; "")&gt;0</formula>
    </cfRule>
  </conditionalFormatting>
  <conditionalFormatting sqref="G206">
    <cfRule type="expression" dxfId="135" priority="114">
      <formula>AND(COUNTIF(I206:N206,"&lt;&gt;" &amp; "")&gt;0,NOT(ISBLANK(G206)))</formula>
    </cfRule>
    <cfRule type="expression" dxfId="134" priority="113">
      <formula>COUNTIF(I206:N206,"&lt;&gt;" &amp; "")&gt;0</formula>
    </cfRule>
  </conditionalFormatting>
  <conditionalFormatting sqref="G215">
    <cfRule type="expression" dxfId="133" priority="118">
      <formula>COUNTIF(I215:N215,"&lt;&gt;" &amp; "")&gt;0</formula>
    </cfRule>
    <cfRule type="expression" dxfId="132" priority="119">
      <formula>AND(COUNTIF(I215:N215,"&lt;&gt;" &amp; "")&gt;0,NOT(ISBLANK(G215)))</formula>
    </cfRule>
  </conditionalFormatting>
  <conditionalFormatting sqref="G224">
    <cfRule type="expression" dxfId="131" priority="123">
      <formula>COUNTIF(I224:N224,"&lt;&gt;" &amp; "")&gt;0</formula>
    </cfRule>
    <cfRule type="expression" dxfId="130" priority="124">
      <formula>AND(COUNTIF(I224:N224,"&lt;&gt;" &amp; "")&gt;0,NOT(ISBLANK(G224)))</formula>
    </cfRule>
  </conditionalFormatting>
  <conditionalFormatting sqref="G233">
    <cfRule type="expression" dxfId="129" priority="128">
      <formula>COUNTIF(I233:N233,"&lt;&gt;" &amp; "")&gt;0</formula>
    </cfRule>
    <cfRule type="expression" dxfId="128" priority="129">
      <formula>AND(COUNTIF(I233:N233,"&lt;&gt;" &amp; "")&gt;0,NOT(ISBLANK(G233)))</formula>
    </cfRule>
  </conditionalFormatting>
  <conditionalFormatting sqref="G242">
    <cfRule type="expression" dxfId="127" priority="133">
      <formula>COUNTIF(I242:N242,"&lt;&gt;" &amp; "")&gt;0</formula>
    </cfRule>
    <cfRule type="expression" dxfId="126" priority="134">
      <formula>AND(COUNTIF(I242:N242,"&lt;&gt;" &amp; "")&gt;0,NOT(ISBLANK(G242)))</formula>
    </cfRule>
  </conditionalFormatting>
  <conditionalFormatting sqref="G251">
    <cfRule type="expression" dxfId="125" priority="139">
      <formula>AND(COUNTIF(I251:N251,"&lt;&gt;" &amp; "")&gt;0,NOT(ISBLANK(G251)))</formula>
    </cfRule>
    <cfRule type="expression" dxfId="124" priority="138">
      <formula>COUNTIF(I251:N251,"&lt;&gt;" &amp; "")&gt;0</formula>
    </cfRule>
  </conditionalFormatting>
  <conditionalFormatting sqref="G260">
    <cfRule type="expression" dxfId="123" priority="144">
      <formula>AND(COUNTIF(I260:N260,"&lt;&gt;" &amp; "")&gt;0,NOT(ISBLANK(G260)))</formula>
    </cfRule>
    <cfRule type="expression" dxfId="122" priority="143">
      <formula>COUNTIF(I260:N260,"&lt;&gt;" &amp; "")&gt;0</formula>
    </cfRule>
  </conditionalFormatting>
  <conditionalFormatting sqref="G269">
    <cfRule type="expression" dxfId="121" priority="149">
      <formula>AND(COUNTIF(I269:N269,"&lt;&gt;" &amp; "")&gt;0,NOT(ISBLANK(G269)))</formula>
    </cfRule>
    <cfRule type="expression" dxfId="120" priority="148">
      <formula>COUNTIF(I269:N269,"&lt;&gt;" &amp; "")&gt;0</formula>
    </cfRule>
  </conditionalFormatting>
  <conditionalFormatting sqref="G278">
    <cfRule type="expression" dxfId="119" priority="153">
      <formula>COUNTIF(I278:N278,"&lt;&gt;" &amp; "")&gt;0</formula>
    </cfRule>
    <cfRule type="expression" dxfId="118" priority="154">
      <formula>AND(COUNTIF(I278:N278,"&lt;&gt;" &amp; "")&gt;0,NOT(ISBLANK(G278)))</formula>
    </cfRule>
  </conditionalFormatting>
  <conditionalFormatting sqref="G287">
    <cfRule type="expression" dxfId="117" priority="159">
      <formula>AND(COUNTIF(I287:N287,"&lt;&gt;" &amp; "")&gt;0,NOT(ISBLANK(G287)))</formula>
    </cfRule>
    <cfRule type="expression" dxfId="116" priority="158">
      <formula>COUNTIF(I287:N287,"&lt;&gt;" &amp; "")&gt;0</formula>
    </cfRule>
  </conditionalFormatting>
  <conditionalFormatting sqref="G296">
    <cfRule type="expression" dxfId="115" priority="163">
      <formula>COUNTIF(I296:N296,"&lt;&gt;" &amp; "")&gt;0</formula>
    </cfRule>
    <cfRule type="expression" dxfId="114" priority="164">
      <formula>AND(COUNTIF(I296:N296,"&lt;&gt;" &amp; "")&gt;0,NOT(ISBLANK(G296)))</formula>
    </cfRule>
  </conditionalFormatting>
  <conditionalFormatting sqref="G305">
    <cfRule type="expression" dxfId="113" priority="168">
      <formula>COUNTIF(I305:N305,"&lt;&gt;" &amp; "")&gt;0</formula>
    </cfRule>
    <cfRule type="expression" dxfId="112" priority="169">
      <formula>AND(COUNTIF(I305:N305,"&lt;&gt;" &amp; "")&gt;0,NOT(ISBLANK(G305)))</formula>
    </cfRule>
  </conditionalFormatting>
  <conditionalFormatting sqref="G314">
    <cfRule type="expression" dxfId="111" priority="173">
      <formula>COUNTIF(I314:N314,"&lt;&gt;" &amp; "")&gt;0</formula>
    </cfRule>
    <cfRule type="expression" dxfId="110" priority="174">
      <formula>AND(COUNTIF(I314:N314,"&lt;&gt;" &amp; "")&gt;0,NOT(ISBLANK(G314)))</formula>
    </cfRule>
  </conditionalFormatting>
  <conditionalFormatting sqref="G323">
    <cfRule type="expression" dxfId="109" priority="179">
      <formula>AND(COUNTIF(I323:N323,"&lt;&gt;" &amp; "")&gt;0,NOT(ISBLANK(G323)))</formula>
    </cfRule>
    <cfRule type="expression" dxfId="108" priority="178">
      <formula>COUNTIF(I323:N323,"&lt;&gt;" &amp; "")&gt;0</formula>
    </cfRule>
  </conditionalFormatting>
  <conditionalFormatting sqref="G332">
    <cfRule type="expression" dxfId="107" priority="183">
      <formula>COUNTIF(I332:N332,"&lt;&gt;" &amp; "")&gt;0</formula>
    </cfRule>
    <cfRule type="expression" dxfId="106" priority="184">
      <formula>AND(COUNTIF(I332:N332,"&lt;&gt;" &amp; "")&gt;0,NOT(ISBLANK(G332)))</formula>
    </cfRule>
  </conditionalFormatting>
  <conditionalFormatting sqref="G341">
    <cfRule type="expression" dxfId="105" priority="189">
      <formula>AND(COUNTIF(I341:N341,"&lt;&gt;" &amp; "")&gt;0,NOT(ISBLANK(G341)))</formula>
    </cfRule>
    <cfRule type="expression" dxfId="104" priority="188">
      <formula>COUNTIF(I341:N341,"&lt;&gt;" &amp; "")&gt;0</formula>
    </cfRule>
  </conditionalFormatting>
  <conditionalFormatting sqref="G350">
    <cfRule type="expression" dxfId="103" priority="193">
      <formula>COUNTIF(I350:N350,"&lt;&gt;" &amp; "")&gt;0</formula>
    </cfRule>
    <cfRule type="expression" dxfId="102" priority="194">
      <formula>AND(COUNTIF(I350:N350,"&lt;&gt;" &amp; "")&gt;0,NOT(ISBLANK(G350)))</formula>
    </cfRule>
  </conditionalFormatting>
  <conditionalFormatting sqref="G359">
    <cfRule type="expression" dxfId="101" priority="198">
      <formula>COUNTIF(I359:N359,"&lt;&gt;" &amp; "")&gt;0</formula>
    </cfRule>
    <cfRule type="expression" dxfId="100" priority="199">
      <formula>AND(COUNTIF(I359:N359,"&lt;&gt;" &amp; "")&gt;0,NOT(ISBLANK(G359)))</formula>
    </cfRule>
  </conditionalFormatting>
  <conditionalFormatting sqref="G368">
    <cfRule type="expression" dxfId="99" priority="203">
      <formula>COUNTIF(I368:N368,"&lt;&gt;" &amp; "")&gt;0</formula>
    </cfRule>
    <cfRule type="expression" dxfId="98" priority="204">
      <formula>AND(COUNTIF(I368:N368,"&lt;&gt;" &amp; "")&gt;0,NOT(ISBLANK(G368)))</formula>
    </cfRule>
  </conditionalFormatting>
  <conditionalFormatting sqref="G377">
    <cfRule type="expression" dxfId="97" priority="209">
      <formula>AND(COUNTIF(I377:N377,"&lt;&gt;" &amp; "")&gt;0,NOT(ISBLANK(G377)))</formula>
    </cfRule>
    <cfRule type="expression" dxfId="96" priority="208">
      <formula>COUNTIF(I377:N377,"&lt;&gt;" &amp; "")&gt;0</formula>
    </cfRule>
  </conditionalFormatting>
  <conditionalFormatting sqref="G386">
    <cfRule type="expression" dxfId="95" priority="213">
      <formula>COUNTIF(I386:N386,"&lt;&gt;" &amp; "")&gt;0</formula>
    </cfRule>
    <cfRule type="expression" dxfId="94" priority="214">
      <formula>AND(COUNTIF(I386:N386,"&lt;&gt;" &amp; "")&gt;0,NOT(ISBLANK(G386)))</formula>
    </cfRule>
  </conditionalFormatting>
  <conditionalFormatting sqref="G395">
    <cfRule type="expression" dxfId="93" priority="218">
      <formula>COUNTIF(I395:N395,"&lt;&gt;" &amp; "")&gt;0</formula>
    </cfRule>
    <cfRule type="expression" dxfId="92" priority="219">
      <formula>AND(COUNTIF(I395:N395,"&lt;&gt;" &amp; "")&gt;0,NOT(ISBLANK(G395)))</formula>
    </cfRule>
  </conditionalFormatting>
  <conditionalFormatting sqref="G404">
    <cfRule type="expression" dxfId="91" priority="224">
      <formula>AND(COUNTIF(I404:N404,"&lt;&gt;" &amp; "")&gt;0,NOT(ISBLANK(G404)))</formula>
    </cfRule>
    <cfRule type="expression" dxfId="90" priority="223">
      <formula>COUNTIF(I404:N404,"&lt;&gt;" &amp; "")&gt;0</formula>
    </cfRule>
  </conditionalFormatting>
  <conditionalFormatting sqref="G413">
    <cfRule type="expression" dxfId="89" priority="228">
      <formula>COUNTIF(I413:N413,"&lt;&gt;" &amp; "")&gt;0</formula>
    </cfRule>
    <cfRule type="expression" dxfId="88" priority="229">
      <formula>AND(COUNTIF(I413:N413,"&lt;&gt;" &amp; "")&gt;0,NOT(ISBLANK(G413)))</formula>
    </cfRule>
  </conditionalFormatting>
  <conditionalFormatting sqref="G422">
    <cfRule type="expression" dxfId="87" priority="233">
      <formula>COUNTIF(I422:N422,"&lt;&gt;" &amp; "")&gt;0</formula>
    </cfRule>
    <cfRule type="expression" dxfId="86" priority="234">
      <formula>AND(COUNTIF(I422:N422,"&lt;&gt;" &amp; "")&gt;0,NOT(ISBLANK(G422)))</formula>
    </cfRule>
  </conditionalFormatting>
  <conditionalFormatting sqref="G431">
    <cfRule type="expression" dxfId="85" priority="239">
      <formula>AND(COUNTIF(I431:N431,"&lt;&gt;" &amp; "")&gt;0,NOT(ISBLANK(G431)))</formula>
    </cfRule>
    <cfRule type="expression" dxfId="84" priority="238">
      <formula>COUNTIF(I431:N431,"&lt;&gt;" &amp; "")&gt;0</formula>
    </cfRule>
  </conditionalFormatting>
  <conditionalFormatting sqref="G440">
    <cfRule type="expression" dxfId="83" priority="244">
      <formula>AND(COUNTIF(I440:N440,"&lt;&gt;" &amp; "")&gt;0,NOT(ISBLANK(G440)))</formula>
    </cfRule>
    <cfRule type="expression" dxfId="82" priority="243">
      <formula>COUNTIF(I440:N440,"&lt;&gt;" &amp; "")&gt;0</formula>
    </cfRule>
  </conditionalFormatting>
  <conditionalFormatting sqref="G449">
    <cfRule type="expression" dxfId="81" priority="249">
      <formula>AND(COUNTIF(I449:N449,"&lt;&gt;" &amp; "")&gt;0,NOT(ISBLANK(G449)))</formula>
    </cfRule>
    <cfRule type="expression" dxfId="80" priority="248">
      <formula>COUNTIF(I449:N449,"&lt;&gt;" &amp; "")&gt;0</formula>
    </cfRule>
  </conditionalFormatting>
  <conditionalFormatting sqref="G458">
    <cfRule type="expression" dxfId="79" priority="254">
      <formula>AND(COUNTIF(I458:N458,"&lt;&gt;" &amp; "")&gt;0,NOT(ISBLANK(G458)))</formula>
    </cfRule>
    <cfRule type="expression" dxfId="78" priority="253">
      <formula>COUNTIF(I458:N458,"&lt;&gt;" &amp; "")&gt;0</formula>
    </cfRule>
  </conditionalFormatting>
  <conditionalFormatting sqref="G467">
    <cfRule type="expression" dxfId="77" priority="258">
      <formula>COUNTIF(I467:N467,"&lt;&gt;" &amp; "")&gt;0</formula>
    </cfRule>
    <cfRule type="expression" dxfId="76" priority="259">
      <formula>AND(COUNTIF(I467:N467,"&lt;&gt;" &amp; "")&gt;0,NOT(ISBLANK(G467)))</formula>
    </cfRule>
  </conditionalFormatting>
  <conditionalFormatting sqref="G476">
    <cfRule type="expression" dxfId="75" priority="264">
      <formula>AND(COUNTIF(I476:N476,"&lt;&gt;" &amp; "")&gt;0,NOT(ISBLANK(G476)))</formula>
    </cfRule>
    <cfRule type="expression" dxfId="74" priority="263">
      <formula>COUNTIF(I476:N476,"&lt;&gt;" &amp; "")&gt;0</formula>
    </cfRule>
  </conditionalFormatting>
  <conditionalFormatting sqref="G485">
    <cfRule type="expression" dxfId="73" priority="268">
      <formula>COUNTIF(I485:N485,"&lt;&gt;" &amp; "")&gt;0</formula>
    </cfRule>
    <cfRule type="expression" dxfId="72" priority="269">
      <formula>AND(COUNTIF(I485:N485,"&lt;&gt;" &amp; "")&gt;0,NOT(ISBLANK(G485)))</formula>
    </cfRule>
  </conditionalFormatting>
  <conditionalFormatting sqref="G494">
    <cfRule type="expression" dxfId="71" priority="273">
      <formula>COUNTIF(I494:N494,"&lt;&gt;" &amp; "")&gt;0</formula>
    </cfRule>
    <cfRule type="expression" dxfId="70" priority="274">
      <formula>AND(COUNTIF(I494:N494,"&lt;&gt;" &amp; "")&gt;0,NOT(ISBLANK(G494)))</formula>
    </cfRule>
  </conditionalFormatting>
  <conditionalFormatting sqref="G503">
    <cfRule type="expression" dxfId="69" priority="279">
      <formula>AND(COUNTIF(I503:N503,"&lt;&gt;" &amp; "")&gt;0,NOT(ISBLANK(G503)))</formula>
    </cfRule>
    <cfRule type="expression" dxfId="68" priority="278">
      <formula>COUNTIF(I503:N503,"&lt;&gt;" &amp; "")&gt;0</formula>
    </cfRule>
  </conditionalFormatting>
  <conditionalFormatting sqref="G512">
    <cfRule type="expression" dxfId="67" priority="283">
      <formula>COUNTIF(I512:N512,"&lt;&gt;" &amp; "")&gt;0</formula>
    </cfRule>
    <cfRule type="expression" dxfId="66" priority="284">
      <formula>AND(COUNTIF(I512:N512,"&lt;&gt;" &amp; "")&gt;0,NOT(ISBLANK(G512)))</formula>
    </cfRule>
  </conditionalFormatting>
  <conditionalFormatting sqref="G521">
    <cfRule type="expression" dxfId="65" priority="288">
      <formula>COUNTIF(I521:N521,"&lt;&gt;" &amp; "")&gt;0</formula>
    </cfRule>
    <cfRule type="expression" dxfId="64" priority="289">
      <formula>AND(COUNTIF(I521:N521,"&lt;&gt;" &amp; "")&gt;0,NOT(ISBLANK(G521)))</formula>
    </cfRule>
  </conditionalFormatting>
  <conditionalFormatting sqref="G530">
    <cfRule type="expression" dxfId="63" priority="294">
      <formula>AND(COUNTIF(I530:N530,"&lt;&gt;" &amp; "")&gt;0,NOT(ISBLANK(G530)))</formula>
    </cfRule>
    <cfRule type="expression" dxfId="62" priority="293">
      <formula>COUNTIF(I530:N530,"&lt;&gt;" &amp; "")&gt;0</formula>
    </cfRule>
  </conditionalFormatting>
  <conditionalFormatting sqref="G539">
    <cfRule type="expression" dxfId="61" priority="299">
      <formula>AND(COUNTIF(I539:N539,"&lt;&gt;" &amp; "")&gt;0,NOT(ISBLANK(G539)))</formula>
    </cfRule>
    <cfRule type="expression" dxfId="60" priority="298">
      <formula>COUNTIF(I539:N539,"&lt;&gt;" &amp; "")&gt;0</formula>
    </cfRule>
  </conditionalFormatting>
  <conditionalFormatting sqref="G548">
    <cfRule type="expression" dxfId="59" priority="304">
      <formula>AND(COUNTIF(I548:N548,"&lt;&gt;" &amp; "")&gt;0,NOT(ISBLANK(G548)))</formula>
    </cfRule>
    <cfRule type="expression" dxfId="58" priority="303">
      <formula>COUNTIF(I548:N548,"&lt;&gt;" &amp; "")&gt;0</formula>
    </cfRule>
  </conditionalFormatting>
  <conditionalFormatting sqref="G557">
    <cfRule type="expression" dxfId="57" priority="308">
      <formula>COUNTIF(I557:N557,"&lt;&gt;" &amp; "")&gt;0</formula>
    </cfRule>
    <cfRule type="expression" dxfId="56" priority="309">
      <formula>AND(COUNTIF(I557:N557,"&lt;&gt;" &amp; "")&gt;0,NOT(ISBLANK(G557)))</formula>
    </cfRule>
  </conditionalFormatting>
  <conditionalFormatting sqref="G566">
    <cfRule type="expression" dxfId="55" priority="313">
      <formula>COUNTIF(I566:N566,"&lt;&gt;" &amp; "")&gt;0</formula>
    </cfRule>
    <cfRule type="expression" dxfId="54" priority="314">
      <formula>AND(COUNTIF(I566:N566,"&lt;&gt;" &amp; "")&gt;0,NOT(ISBLANK(G566)))</formula>
    </cfRule>
  </conditionalFormatting>
  <conditionalFormatting sqref="G575">
    <cfRule type="expression" dxfId="53" priority="318">
      <formula>COUNTIF(I575:N575,"&lt;&gt;" &amp; "")&gt;0</formula>
    </cfRule>
    <cfRule type="expression" dxfId="52" priority="319">
      <formula>AND(COUNTIF(I575:N575,"&lt;&gt;" &amp; "")&gt;0,NOT(ISBLANK(G575)))</formula>
    </cfRule>
  </conditionalFormatting>
  <conditionalFormatting sqref="G584">
    <cfRule type="expression" dxfId="51" priority="323">
      <formula>COUNTIF(I584:N584,"&lt;&gt;" &amp; "")&gt;0</formula>
    </cfRule>
    <cfRule type="expression" dxfId="50" priority="324">
      <formula>AND(COUNTIF(I584:N584,"&lt;&gt;" &amp; "")&gt;0,NOT(ISBLANK(G584)))</formula>
    </cfRule>
  </conditionalFormatting>
  <conditionalFormatting sqref="G593">
    <cfRule type="expression" dxfId="49" priority="328">
      <formula>COUNTIF(I593:N593,"&lt;&gt;" &amp; "")&gt;0</formula>
    </cfRule>
    <cfRule type="expression" dxfId="48" priority="329">
      <formula>AND(COUNTIF(I593:N593,"&lt;&gt;" &amp; "")&gt;0,NOT(ISBLANK(G593)))</formula>
    </cfRule>
  </conditionalFormatting>
  <conditionalFormatting sqref="G602">
    <cfRule type="expression" dxfId="47" priority="334">
      <formula>AND(COUNTIF(I602:N602,"&lt;&gt;" &amp; "")&gt;0,NOT(ISBLANK(G602)))</formula>
    </cfRule>
    <cfRule type="expression" dxfId="46" priority="333">
      <formula>COUNTIF(I602:N602,"&lt;&gt;" &amp; "")&gt;0</formula>
    </cfRule>
  </conditionalFormatting>
  <conditionalFormatting sqref="G611">
    <cfRule type="expression" dxfId="45" priority="338">
      <formula>COUNTIF(I611:N611,"&lt;&gt;" &amp; "")&gt;0</formula>
    </cfRule>
    <cfRule type="expression" dxfId="44" priority="339">
      <formula>AND(COUNTIF(I611:N611,"&lt;&gt;" &amp; "")&gt;0,NOT(ISBLANK(G611)))</formula>
    </cfRule>
  </conditionalFormatting>
  <conditionalFormatting sqref="G620">
    <cfRule type="expression" dxfId="43" priority="343">
      <formula>COUNTIF(I620:N620,"&lt;&gt;" &amp; "")&gt;0</formula>
    </cfRule>
    <cfRule type="expression" dxfId="42" priority="344">
      <formula>AND(COUNTIF(I620:N620,"&lt;&gt;" &amp; "")&gt;0,NOT(ISBLANK(G620)))</formula>
    </cfRule>
  </conditionalFormatting>
  <conditionalFormatting sqref="G629">
    <cfRule type="expression" dxfId="41" priority="349">
      <formula>AND(COUNTIF(I629:N629,"&lt;&gt;" &amp; "")&gt;0,NOT(ISBLANK(G629)))</formula>
    </cfRule>
    <cfRule type="expression" dxfId="40" priority="348">
      <formula>COUNTIF(I629:N629,"&lt;&gt;" &amp; "")&gt;0</formula>
    </cfRule>
  </conditionalFormatting>
  <conditionalFormatting sqref="G638">
    <cfRule type="expression" dxfId="39" priority="354">
      <formula>AND(COUNTIF(I638:N638,"&lt;&gt;" &amp; "")&gt;0,NOT(ISBLANK(G638)))</formula>
    </cfRule>
    <cfRule type="expression" dxfId="38" priority="353">
      <formula>COUNTIF(I638:N638,"&lt;&gt;" &amp; "")&gt;0</formula>
    </cfRule>
  </conditionalFormatting>
  <conditionalFormatting sqref="G647">
    <cfRule type="expression" dxfId="37" priority="358">
      <formula>COUNTIF(I647:N647,"&lt;&gt;" &amp; "")&gt;0</formula>
    </cfRule>
    <cfRule type="expression" dxfId="36" priority="359">
      <formula>AND(COUNTIF(I647:N647,"&lt;&gt;" &amp; "")&gt;0,NOT(ISBLANK(G647)))</formula>
    </cfRule>
  </conditionalFormatting>
  <conditionalFormatting sqref="G656">
    <cfRule type="expression" dxfId="35" priority="363">
      <formula>COUNTIF(I656:N656,"&lt;&gt;" &amp; "")&gt;0</formula>
    </cfRule>
    <cfRule type="expression" dxfId="34" priority="364">
      <formula>AND(COUNTIF(I656:N656,"&lt;&gt;" &amp; "")&gt;0,NOT(ISBLANK(G656)))</formula>
    </cfRule>
  </conditionalFormatting>
  <conditionalFormatting sqref="G665">
    <cfRule type="expression" dxfId="33" priority="368">
      <formula>COUNTIF(I665:N665,"&lt;&gt;" &amp; "")&gt;0</formula>
    </cfRule>
    <cfRule type="expression" dxfId="32" priority="369">
      <formula>AND(COUNTIF(I665:N665,"&lt;&gt;" &amp; "")&gt;0,NOT(ISBLANK(G665)))</formula>
    </cfRule>
  </conditionalFormatting>
  <conditionalFormatting sqref="G674">
    <cfRule type="expression" dxfId="31" priority="373">
      <formula>COUNTIF(I674:N674,"&lt;&gt;" &amp; "")&gt;0</formula>
    </cfRule>
    <cfRule type="expression" dxfId="30" priority="374">
      <formula>AND(COUNTIF(I674:N674,"&lt;&gt;" &amp; "")&gt;0,NOT(ISBLANK(G674)))</formula>
    </cfRule>
  </conditionalFormatting>
  <conditionalFormatting sqref="G683">
    <cfRule type="expression" dxfId="29" priority="379">
      <formula>AND(COUNTIF(I683:N683,"&lt;&gt;" &amp; "")&gt;0,NOT(ISBLANK(G683)))</formula>
    </cfRule>
    <cfRule type="expression" dxfId="28" priority="378">
      <formula>COUNTIF(I683:N683,"&lt;&gt;" &amp; "")&gt;0</formula>
    </cfRule>
  </conditionalFormatting>
  <conditionalFormatting sqref="G692">
    <cfRule type="expression" dxfId="27" priority="384">
      <formula>AND(COUNTIF(I692:N692,"&lt;&gt;" &amp; "")&gt;0,NOT(ISBLANK(G692)))</formula>
    </cfRule>
    <cfRule type="expression" dxfId="26" priority="383">
      <formula>COUNTIF(I692:N692,"&lt;&gt;" &amp; "")&gt;0</formula>
    </cfRule>
  </conditionalFormatting>
  <conditionalFormatting sqref="G701">
    <cfRule type="expression" dxfId="25" priority="388">
      <formula>COUNTIF(I701:N701,"&lt;&gt;" &amp; "")&gt;0</formula>
    </cfRule>
    <cfRule type="expression" dxfId="24" priority="389">
      <formula>AND(COUNTIF(I701:N701,"&lt;&gt;" &amp; "")&gt;0,NOT(ISBLANK(G701)))</formula>
    </cfRule>
  </conditionalFormatting>
  <conditionalFormatting sqref="G710">
    <cfRule type="expression" dxfId="23" priority="394">
      <formula>AND(COUNTIF(I710:N710,"&lt;&gt;" &amp; "")&gt;0,NOT(ISBLANK(G710)))</formula>
    </cfRule>
    <cfRule type="expression" dxfId="22" priority="393">
      <formula>COUNTIF(I710:N710,"&lt;&gt;" &amp; "")&gt;0</formula>
    </cfRule>
  </conditionalFormatting>
  <conditionalFormatting sqref="G719">
    <cfRule type="expression" dxfId="21" priority="398">
      <formula>COUNTIF(I719:N719,"&lt;&gt;" &amp; "")&gt;0</formula>
    </cfRule>
    <cfRule type="expression" dxfId="20" priority="399">
      <formula>AND(COUNTIF(I719:N719,"&lt;&gt;" &amp; "")&gt;0,NOT(ISBLANK(G719)))</formula>
    </cfRule>
  </conditionalFormatting>
  <conditionalFormatting sqref="G728">
    <cfRule type="expression" dxfId="19" priority="403">
      <formula>COUNTIF(I728:N728,"&lt;&gt;" &amp; "")&gt;0</formula>
    </cfRule>
    <cfRule type="expression" dxfId="18" priority="404">
      <formula>AND(COUNTIF(I728:N728,"&lt;&gt;" &amp; "")&gt;0,NOT(ISBLANK(G728)))</formula>
    </cfRule>
  </conditionalFormatting>
  <conditionalFormatting sqref="G737">
    <cfRule type="expression" dxfId="17" priority="409">
      <formula>AND(COUNTIF(I737:N737,"&lt;&gt;" &amp; "")&gt;0,NOT(ISBLANK(G737)))</formula>
    </cfRule>
    <cfRule type="expression" dxfId="16" priority="408">
      <formula>COUNTIF(I737:N737,"&lt;&gt;" &amp; "")&gt;0</formula>
    </cfRule>
  </conditionalFormatting>
  <conditionalFormatting sqref="G746">
    <cfRule type="expression" dxfId="15" priority="414">
      <formula>AND(COUNTIF(I746:N746,"&lt;&gt;" &amp; "")&gt;0,NOT(ISBLANK(G746)))</formula>
    </cfRule>
    <cfRule type="expression" dxfId="14" priority="413">
      <formula>COUNTIF(I746:N746,"&lt;&gt;" &amp; "")&gt;0</formula>
    </cfRule>
  </conditionalFormatting>
  <conditionalFormatting sqref="G755">
    <cfRule type="expression" dxfId="13" priority="419">
      <formula>AND(COUNTIF(I755:N755,"&lt;&gt;" &amp; "")&gt;0,NOT(ISBLANK(G755)))</formula>
    </cfRule>
    <cfRule type="expression" dxfId="12" priority="418">
      <formula>COUNTIF(I755:N755,"&lt;&gt;" &amp; "")&gt;0</formula>
    </cfRule>
  </conditionalFormatting>
  <conditionalFormatting sqref="G764">
    <cfRule type="expression" dxfId="11" priority="424">
      <formula>AND(COUNTIF(I764:N764,"&lt;&gt;" &amp; "")&gt;0,NOT(ISBLANK(G764)))</formula>
    </cfRule>
    <cfRule type="expression" dxfId="10" priority="423">
      <formula>COUNTIF(I764:N764,"&lt;&gt;" &amp; "")&gt;0</formula>
    </cfRule>
  </conditionalFormatting>
  <conditionalFormatting sqref="G773">
    <cfRule type="expression" dxfId="9" priority="428">
      <formula>COUNTIF(I773:N773,"&lt;&gt;" &amp; "")&gt;0</formula>
    </cfRule>
    <cfRule type="expression" dxfId="8" priority="429">
      <formula>AND(COUNTIF(I773:N773,"&lt;&gt;" &amp; "")&gt;0,NOT(ISBLANK(G773)))</formula>
    </cfRule>
  </conditionalFormatting>
  <conditionalFormatting sqref="G782">
    <cfRule type="expression" dxfId="7" priority="433">
      <formula>COUNTIF(I782:N782,"&lt;&gt;" &amp; "")&gt;0</formula>
    </cfRule>
    <cfRule type="expression" dxfId="6" priority="434">
      <formula>AND(COUNTIF(I782:N782,"&lt;&gt;" &amp; "")&gt;0,NOT(ISBLANK(G782)))</formula>
    </cfRule>
  </conditionalFormatting>
  <conditionalFormatting sqref="G791">
    <cfRule type="expression" dxfId="5" priority="438">
      <formula>COUNTIF(I791:N791,"&lt;&gt;" &amp; "")&gt;0</formula>
    </cfRule>
    <cfRule type="expression" dxfId="4" priority="439">
      <formula>AND(COUNTIF(I791:N791,"&lt;&gt;" &amp; "")&gt;0,NOT(ISBLANK(G791)))</formula>
    </cfRule>
  </conditionalFormatting>
  <conditionalFormatting sqref="G800">
    <cfRule type="expression" dxfId="3" priority="443">
      <formula>COUNTIF(I800:N800,"&lt;&gt;" &amp; "")&gt;0</formula>
    </cfRule>
    <cfRule type="expression" dxfId="2" priority="444">
      <formula>AND(COUNTIF(I800:N800,"&lt;&gt;" &amp; "")&gt;0,NOT(ISBLANK(G800)))</formula>
    </cfRule>
  </conditionalFormatting>
  <conditionalFormatting sqref="G809">
    <cfRule type="expression" dxfId="1" priority="448">
      <formula>COUNTIF(I809:N809,"&lt;&gt;" &amp; "")&gt;0</formula>
    </cfRule>
    <cfRule type="expression" dxfId="0" priority="449">
      <formula>AND(COUNTIF(I809:N809,"&lt;&gt;" &amp; "")&gt;0,NOT(ISBLANK(G809)))</formula>
    </cfRule>
  </conditionalFormatting>
  <dataValidations count="2">
    <dataValidation type="list" allowBlank="1" showInputMessage="1" showErrorMessage="1" sqref="B5 B806 B797 B788 B779 B770 B761 B752 B743 B734 B725 B716 B707 B698 B689 B680 B671 B662 B653 B644 B635 B626 B617 B608 B599 B590 B581 B572 B563 B554 B545 B536 B527 B518 B509 B500 B491 B482 B473 B464 B455 B446 B437 B428 B419 B410 B401 B392 B383 B374 B365 B356 B347 B338 B329 B320 B311 B302 B293 B284 B275 B266 B257 B248 B239 B230 B221 B212 B203 B194 B185 B176 B167 B158 B149 B140 B131 B122 B113 B104 B95 B86 B77 B68 B59 B50 B41 B32 B23 B14" xr:uid="{F5AD765D-0060-4AF9-9A80-928D4A567E4E}">
      <formula1>"Y,N"</formula1>
    </dataValidation>
    <dataValidation type="list" allowBlank="1" showInputMessage="1" showErrorMessage="1" sqref="E8 E809 E800 E791 E782 E773 E764 E755 E746 E737 E728 E719 E710 E701 E692 E683 E674 E665 E656 E647 E638 E629 E620 E611 E602 E593 E584 E575 E566 E557 E548 E539 E530 E521 E512 E503 E494 E485 E476 E467 E458 E449 E440 E431 E422 E413 E404 E395 E386 E377 E368 E359 E350 E341 E332 E323 E314 E305 E296 E287 E278 E269 E260 E251 E242 E233 E224 E215 E206 E197 E188 E179 E170 E161 E152 E143 E134 E125 E116 E107 E98 E89 E80 E71 E62 E53 E44 E35 E26 E17" xr:uid="{5F803EC3-99B0-44D7-A65B-49F8F0F3D073}">
      <formula1>"N.A."</formula1>
    </dataValidation>
  </dataValidations>
  <hyperlinks>
    <hyperlink ref="B5" location="Interactions!B8" display="Y" xr:uid="{5338624F-1529-481B-9E0A-FBC35F4A492D}"/>
    <hyperlink ref="B8" location="Interactions!$B$5" display="Interactions!$B$5" xr:uid="{D7E03E6D-E235-43C9-A5B2-EB4EEBAA698E}"/>
    <hyperlink ref="B14" location="Interactions!B17" display="Y" xr:uid="{C94D6BD8-D05A-4A36-A8D2-3E91A2716900}"/>
    <hyperlink ref="B17" location="Interactions!$B$14" display="Interactions!$B$14" xr:uid="{E2BB067A-3D77-4050-A629-BF5BB08CC676}"/>
    <hyperlink ref="B23" location="Interactions!B26" display="Y" xr:uid="{D4CBFFBD-55BE-409D-B9EB-C2EF7116BB03}"/>
    <hyperlink ref="B26" location="Interactions!$B$23" display="Interactions!$B$23" xr:uid="{43A6790B-D1F0-4BFD-A9F2-AF9EF3BD2DED}"/>
    <hyperlink ref="B32" location="Interactions!B35" display="Y" xr:uid="{553CC989-A0BF-4051-BB2A-B44EEE8B0841}"/>
    <hyperlink ref="B35" location="Interactions!$B$32" display="Interactions!$B$32" xr:uid="{2D00CDBB-9130-4D22-B5BD-C7524DEC495E}"/>
    <hyperlink ref="B41" location="Interactions!B44" display="Y" xr:uid="{DD6FF8EA-A94A-4C47-8584-0456CB01CF6D}"/>
    <hyperlink ref="B44" location="Interactions!$B$41" display="Interactions!$B$41" xr:uid="{63B2FF87-A7C5-4694-8EF0-605E65D01313}"/>
    <hyperlink ref="B50" location="Interactions!B53" display="Y" xr:uid="{E67ABFDD-719E-41B0-82BC-C26BF2BB2DB3}"/>
    <hyperlink ref="B53" location="Interactions!$B$50" display="Interactions!$B$50" xr:uid="{B62674B4-8746-4FC8-B3E1-630AC5741FB8}"/>
    <hyperlink ref="B59" location="Interactions!B62" display="Y" xr:uid="{BF1BE103-E1F4-4CFF-95FA-A8E4C75976CE}"/>
    <hyperlink ref="B62" location="Interactions!$B$59" display="Interactions!$B$59" xr:uid="{99FDBB5C-AD54-4087-BBA1-BB20A77A8387}"/>
    <hyperlink ref="B68" location="Interactions!B71" display="Y" xr:uid="{C2A339F5-C2B5-4AD7-B933-080E54885EFB}"/>
    <hyperlink ref="B71" location="Interactions!$B$68" display="Interactions!$B$68" xr:uid="{88F7EB20-E21D-4AF9-9327-F5E2022A77D7}"/>
    <hyperlink ref="B77" location="Interactions!B80" display="Y" xr:uid="{188D6A6D-1C28-4406-BA04-C7CEC6A80A2D}"/>
    <hyperlink ref="B80" location="Interactions!$B$77" display="Interactions!$B$77" xr:uid="{AA03EAD9-5011-4B37-AF7A-01F9FE1A725F}"/>
    <hyperlink ref="B86" location="Interactions!B89" display="Y" xr:uid="{17609CED-B97D-4141-8C15-FB647042FEA2}"/>
    <hyperlink ref="B89" location="Interactions!$B$86" display="Interactions!$B$86" xr:uid="{B8371648-F65D-4985-9598-CFE45BB54F0C}"/>
    <hyperlink ref="B95" location="Interactions!B98" display="Y" xr:uid="{30050C6B-036A-4F4C-B69A-9903CC1314FC}"/>
    <hyperlink ref="B98" location="Interactions!$B$95" display="Interactions!$B$95" xr:uid="{28B34DDA-99A6-464C-8A6F-839045A58A4F}"/>
    <hyperlink ref="B104" location="Interactions!B107" display="Y" xr:uid="{27F7A305-F480-4C65-BD88-6B5775413922}"/>
    <hyperlink ref="B107" location="Interactions!$B$104" display="Interactions!$B$104" xr:uid="{21262600-40DB-4B31-9169-88FC03D757BB}"/>
    <hyperlink ref="B113" location="Interactions!B116" display="Y" xr:uid="{E0A7F8F0-F29A-4DD2-B18E-AAA4BFB24F27}"/>
    <hyperlink ref="B116" location="Interactions!$B$113" display="Interactions!$B$113" xr:uid="{5A9113E0-7C4E-4B8D-9775-B3FD0BF43176}"/>
    <hyperlink ref="B122" location="Interactions!B125" display="Y" xr:uid="{C9272719-DC03-42C7-B896-BCBBC651E9D3}"/>
    <hyperlink ref="B125" location="Interactions!$B$122" display="Interactions!$B$122" xr:uid="{CBFC1574-4637-495B-A7C0-FE57C889FD49}"/>
    <hyperlink ref="B131" location="Interactions!B134" display="Y" xr:uid="{13B4F547-5621-4190-B2B7-038924DC563D}"/>
    <hyperlink ref="B134" location="Interactions!$B$131" display="Interactions!$B$131" xr:uid="{CB389EFE-6980-447A-A589-F5D5A38D6854}"/>
    <hyperlink ref="B140" location="Interactions!B143" display="Y" xr:uid="{CE24283E-8E09-49EB-955F-2E3AAAA1DBF9}"/>
    <hyperlink ref="B143" location="Interactions!$B$140" display="Interactions!$B$140" xr:uid="{0BDAEC31-B724-4858-A574-30B9E5D03310}"/>
    <hyperlink ref="B149" location="Interactions!B152" display="Y" xr:uid="{7DF9B542-283C-4899-A13B-FD6DBFE8656C}"/>
    <hyperlink ref="B152" location="Interactions!$B$149" display="Interactions!$B$149" xr:uid="{FD53A3E9-0269-458D-85A3-243FB29820CC}"/>
    <hyperlink ref="B158" location="Interactions!B161" display="Y" xr:uid="{48EF2CF9-ED9B-411F-B0C1-08012B4E26F9}"/>
    <hyperlink ref="B161" location="Interactions!$B$158" display="Interactions!$B$158" xr:uid="{C55006A1-0DE6-404D-B63E-5953744E8F38}"/>
    <hyperlink ref="B167" location="Interactions!B170" display="Y" xr:uid="{0D569CE2-6166-483B-9B67-9E05F9111C87}"/>
    <hyperlink ref="B170" location="Interactions!$B$167" display="Interactions!$B$167" xr:uid="{DB91DCB1-EFDF-4B28-8EB8-D360623EAA35}"/>
    <hyperlink ref="B176" location="Interactions!B179" display="Y" xr:uid="{F5DF6184-08B1-4006-89C5-E4AF555C60DA}"/>
    <hyperlink ref="B179" location="Interactions!$B$176" display="Interactions!$B$176" xr:uid="{AF246C74-5784-4058-89D4-3F8D34C32AA4}"/>
    <hyperlink ref="B185" location="Interactions!B188" display="Y" xr:uid="{79EFD753-8933-43DF-B3C6-416EAD95DEDC}"/>
    <hyperlink ref="B188" location="Interactions!$B$185" display="Interactions!$B$185" xr:uid="{B4B51C25-B27D-4FDD-8B4D-CB5A03734A6C}"/>
    <hyperlink ref="B194" location="Interactions!B197" display="Y" xr:uid="{DE8C5230-7C5F-4F79-9BB9-28A9E9191735}"/>
    <hyperlink ref="B197" location="Interactions!$B$194" display="Interactions!$B$194" xr:uid="{719EED42-51EC-4DBE-96EA-9CFF748994F2}"/>
    <hyperlink ref="B203" location="Interactions!B206" display="Y" xr:uid="{62F3C60D-8C27-4FD1-864F-F3FB3E9D81D5}"/>
    <hyperlink ref="B206" location="Interactions!$B$203" display="Interactions!$B$203" xr:uid="{0D3BD061-7641-4514-BA60-E828B44D1F03}"/>
    <hyperlink ref="B212" location="Interactions!B215" display="Y" xr:uid="{C887165F-3C80-493A-91C2-26A8E085DC1B}"/>
    <hyperlink ref="B215" location="Interactions!$B$212" display="Interactions!$B$212" xr:uid="{C771DC9A-8938-4EC3-94F3-6896CACEDFCB}"/>
    <hyperlink ref="B221" location="Interactions!B224" display="Y" xr:uid="{1EFEA4EA-FF98-45A6-AEB5-4EC7032FC6A8}"/>
    <hyperlink ref="B224" location="Interactions!$B$221" display="Interactions!$B$221" xr:uid="{6E82B2B3-C1BB-4B94-BE6E-C013651DE805}"/>
    <hyperlink ref="B230" location="Interactions!B233" display="Y" xr:uid="{B1F24A11-5210-42F0-BF6A-7D567272B2D7}"/>
    <hyperlink ref="B233" location="Interactions!$B$230" display="Interactions!$B$230" xr:uid="{E87C9D7C-7534-46F6-B00D-2861C5C8C463}"/>
    <hyperlink ref="B239" location="Interactions!B242" display="Y" xr:uid="{6BAF3AF0-1861-4AE3-A663-7AE1BF0839FB}"/>
    <hyperlink ref="B242" location="Interactions!$B$239" display="Interactions!$B$239" xr:uid="{D6753C37-B927-4FF3-85BA-3B692847F973}"/>
    <hyperlink ref="B248" location="Interactions!B251" display="Y" xr:uid="{60913A7B-D2DA-4DC9-BA77-61B0D16DF73F}"/>
    <hyperlink ref="B251" location="Interactions!$B$248" display="Interactions!$B$248" xr:uid="{00238D12-5D3E-4755-9A0B-C0126123098D}"/>
    <hyperlink ref="B257" location="Interactions!B260" display="Y" xr:uid="{A0B74B1D-C78C-4CBB-B76C-DD40BD519DDF}"/>
    <hyperlink ref="B260" location="Interactions!$B$257" display="Interactions!$B$257" xr:uid="{478E66CC-B29E-4112-8E5F-F8AE3E175E8C}"/>
    <hyperlink ref="B266" location="Interactions!B269" display="Y" xr:uid="{93335C66-38B9-4413-BAD4-B4ECD1D04EAB}"/>
    <hyperlink ref="B269" location="Interactions!$B$266" display="Interactions!$B$266" xr:uid="{89D30969-9CEA-4092-BC9A-BAE5FECBBB93}"/>
    <hyperlink ref="B275" location="Interactions!B278" display="Y" xr:uid="{56202DD7-4EB8-4D1B-A2D2-21C7EA51D1D5}"/>
    <hyperlink ref="B278" location="Interactions!$B$275" display="Interactions!$B$275" xr:uid="{1B23A96A-C068-40DF-9B14-53CFA306BF21}"/>
    <hyperlink ref="B284" location="Interactions!B287" display="Y" xr:uid="{243BE306-1A70-42AA-90B7-0299A647B045}"/>
    <hyperlink ref="B287" location="Interactions!$B$284" display="Interactions!$B$284" xr:uid="{A93E146F-9906-4ADC-97A8-D0A5336D0BD4}"/>
    <hyperlink ref="B293" location="Interactions!B296" display="Y" xr:uid="{C96FA220-1B15-45FD-B4DA-E9FA3A45309E}"/>
    <hyperlink ref="B296" location="Interactions!$B$293" display="Interactions!$B$293" xr:uid="{B8EFF576-AD5D-426B-9EC7-D2EB48EC1128}"/>
    <hyperlink ref="B302" location="Interactions!B305" display="Y" xr:uid="{CE0CB4A5-84D9-4F19-9967-D62405AE0E1E}"/>
    <hyperlink ref="B305" location="Interactions!$B$302" display="Interactions!$B$302" xr:uid="{D39F1538-9D09-406B-A0F5-1594B299BEEF}"/>
    <hyperlink ref="B311" location="Interactions!B314" display="Y" xr:uid="{B78FBB11-E17F-4B31-8AEE-CC88B958F930}"/>
    <hyperlink ref="B314" location="Interactions!$B$311" display="Interactions!$B$311" xr:uid="{E83E60CC-5508-46C1-9FAF-2E1D78C39C92}"/>
    <hyperlink ref="B320" location="Interactions!B323" display="Y" xr:uid="{A51F7168-9A93-4077-94E7-8564C4195BDF}"/>
    <hyperlink ref="B323" location="Interactions!$B$320" display="Interactions!$B$320" xr:uid="{49972BA4-7D8C-41C0-ADDF-34277C839380}"/>
    <hyperlink ref="B329" location="Interactions!B332" display="Y" xr:uid="{BBA9E22D-094F-4431-8C18-74BC7F557B9B}"/>
    <hyperlink ref="B332" location="Interactions!$B$329" display="Interactions!$B$329" xr:uid="{0D4E3B08-BD06-4839-A512-5E7B027B1EF4}"/>
    <hyperlink ref="B338" location="Interactions!B341" display="Y" xr:uid="{71403075-6AF4-414B-8AE6-A8A30DBE6B42}"/>
    <hyperlink ref="B341" location="Interactions!$B$338" display="Interactions!$B$338" xr:uid="{8D466CC0-F388-401C-9B77-486A17AD55A0}"/>
    <hyperlink ref="B347" location="Interactions!B350" display="Y" xr:uid="{1880AA11-B6F3-4FD8-AA2A-F7AD38C6B809}"/>
    <hyperlink ref="B350" location="Interactions!$B$347" display="Interactions!$B$347" xr:uid="{BAC951E4-B6F9-4E06-AA46-223222F48854}"/>
    <hyperlink ref="B356" location="Interactions!B359" display="Y" xr:uid="{F22A6B02-6E3F-41F6-9F47-755B49EEA8F4}"/>
    <hyperlink ref="B359" location="Interactions!$B$356" display="Interactions!$B$356" xr:uid="{846677BF-EE76-4328-8C0E-C57C9DDCB936}"/>
    <hyperlink ref="B365" location="Interactions!B368" display="Y" xr:uid="{443664E9-5B7A-466F-B99F-654AFB09CE44}"/>
    <hyperlink ref="B368" location="Interactions!$B$365" display="Interactions!$B$365" xr:uid="{0CD2DF58-0CAB-4600-B559-244FC85C76D1}"/>
    <hyperlink ref="B374" location="Interactions!B377" display="Y" xr:uid="{FA7A39F7-ACC4-4B07-95EC-6201CF42FAC6}"/>
    <hyperlink ref="B377" location="Interactions!$B$374" display="Interactions!$B$374" xr:uid="{9196DD43-50FA-44AA-9E8F-C15E607CB87E}"/>
    <hyperlink ref="B383" location="Interactions!B386" display="Y" xr:uid="{EA8B1A9B-EF1A-4117-B731-4BC598436BF5}"/>
    <hyperlink ref="B386" location="Interactions!$B$383" display="Interactions!$B$383" xr:uid="{C053F08F-19A7-4E80-B1AB-24ACB0E0346E}"/>
    <hyperlink ref="B392" location="Interactions!B395" display="Y" xr:uid="{C85CF662-EFBD-4321-B977-0BBFC1EEC162}"/>
    <hyperlink ref="B395" location="Interactions!$B$392" display="Interactions!$B$392" xr:uid="{4D2F7FF4-DA97-4CDB-A237-06731C1709C7}"/>
    <hyperlink ref="B401" location="Interactions!B404" display="Y" xr:uid="{D1AFEE6B-1130-473D-A2E7-2945398F5905}"/>
    <hyperlink ref="B404" location="Interactions!$B$401" display="Interactions!$B$401" xr:uid="{C2C7FDE8-69C2-4F54-8C80-A63B6F9D57B6}"/>
    <hyperlink ref="B410" location="Interactions!B413" display="Y" xr:uid="{8FB0A426-8F04-4875-A609-E2B9F0577113}"/>
    <hyperlink ref="B413" location="Interactions!$B$410" display="Interactions!$B$410" xr:uid="{8B811F75-8318-4881-9719-67A5B310CE0D}"/>
    <hyperlink ref="B419" location="Interactions!B422" display="Y" xr:uid="{CF951F4A-009D-455D-9439-B98946E270A5}"/>
    <hyperlink ref="B422" location="Interactions!$B$419" display="Interactions!$B$419" xr:uid="{3B25D6F5-D4A6-4264-A302-C3D22C011F46}"/>
    <hyperlink ref="B428" location="Interactions!B431" display="Y" xr:uid="{254C2EF7-053F-40C1-8C43-CF1A3591B55F}"/>
    <hyperlink ref="B431" location="Interactions!$B$428" display="Interactions!$B$428" xr:uid="{CC32FA64-8691-4E10-9166-B03AA0007259}"/>
    <hyperlink ref="B437" location="Interactions!B440" display="Y" xr:uid="{471711F7-146A-4ED9-B0B2-50605256EFA5}"/>
    <hyperlink ref="B440" location="Interactions!$B$437" display="Interactions!$B$437" xr:uid="{28768EDF-8F72-482D-B66A-B1AFF49CC8F7}"/>
    <hyperlink ref="B446" location="Interactions!B449" display="Y" xr:uid="{C0BF4EBF-67D5-4407-B5D3-AD740649F886}"/>
    <hyperlink ref="B449" location="Interactions!$B$446" display="Interactions!$B$446" xr:uid="{6C5F4E2E-2B45-45B0-8EB8-714C2B28FE84}"/>
    <hyperlink ref="B455" location="Interactions!B458" display="Y" xr:uid="{E96B91EF-8463-40F1-A30A-FD5D4A3402DE}"/>
    <hyperlink ref="B458" location="Interactions!$B$455" display="Interactions!$B$455" xr:uid="{264E0E9F-2506-4E2E-A708-478B5BD2BE37}"/>
    <hyperlink ref="B464" location="Interactions!B467" display="Y" xr:uid="{15E47295-52DD-4462-BF79-5EADA296B7D0}"/>
    <hyperlink ref="B467" location="Interactions!$B$464" display="Interactions!$B$464" xr:uid="{983E6249-6A86-4742-9752-0064F27315F9}"/>
    <hyperlink ref="B473" location="Interactions!B476" display="Y" xr:uid="{C0DBB529-5DAA-4CDE-A854-277A6155903F}"/>
    <hyperlink ref="B476" location="Interactions!$B$473" display="Interactions!$B$473" xr:uid="{CB6A51DE-FFB4-44F5-B6CF-A63DAB03EFB4}"/>
    <hyperlink ref="B482" location="Interactions!B485" display="Y" xr:uid="{E075E070-9A84-416C-8315-2A14AFB7DF45}"/>
    <hyperlink ref="B485" location="Interactions!$B$482" display="Interactions!$B$482" xr:uid="{D9222F67-0EB4-43F8-851D-67436E879CDA}"/>
    <hyperlink ref="B491" location="Interactions!B494" display="Y" xr:uid="{6D21BA8C-EDB6-40E6-A047-7CD6B43790D3}"/>
    <hyperlink ref="B494" location="Interactions!$B$491" display="Interactions!$B$491" xr:uid="{B40FB91E-E54F-446A-9E8B-6391237EF17E}"/>
    <hyperlink ref="B500" location="Interactions!B503" display="Y" xr:uid="{4FE8676B-7529-486B-AE0B-67010CEF08F9}"/>
    <hyperlink ref="B503" location="Interactions!$B$500" display="Interactions!$B$500" xr:uid="{34A1B7ED-FEAA-4073-878C-1A4094F7DDA1}"/>
    <hyperlink ref="B509" location="Interactions!B512" display="Y" xr:uid="{BD2E1E85-EAD7-4CF4-8AFF-29864087B317}"/>
    <hyperlink ref="B512" location="Interactions!$B$509" display="Interactions!$B$509" xr:uid="{4E2EE6D0-AAD3-4C6C-91F5-92DA5AC5BD93}"/>
    <hyperlink ref="B518" location="Interactions!B521" display="Y" xr:uid="{B519212D-0D01-45A1-B209-CACCC439584D}"/>
    <hyperlink ref="B521" location="Interactions!$B$518" display="Interactions!$B$518" xr:uid="{06E93AC8-DF3D-44EB-AC2A-96DD8190C1AF}"/>
    <hyperlink ref="B527" location="Interactions!B530" display="Y" xr:uid="{CC8B5A51-4BBC-43B2-B139-B0EDA69DEE8E}"/>
    <hyperlink ref="B530" location="Interactions!$B$527" display="Interactions!$B$527" xr:uid="{5C528E7A-6865-41C0-81B0-0A841AA83336}"/>
    <hyperlink ref="B536" location="Interactions!B539" display="Y" xr:uid="{3DE0C691-5757-41E2-A7EB-E485590A860E}"/>
    <hyperlink ref="B539" location="Interactions!$B$536" display="Interactions!$B$536" xr:uid="{3140B1F3-92BB-473B-B1F5-067F87686319}"/>
    <hyperlink ref="B545" location="Interactions!B548" display="Y" xr:uid="{374F3FD3-3E72-44EC-BECA-F44BF87E281A}"/>
    <hyperlink ref="B548" location="Interactions!$B$545" display="Interactions!$B$545" xr:uid="{70A01EB1-2176-4A92-9B5E-58B37473297C}"/>
    <hyperlink ref="B554" location="Interactions!B557" display="Y" xr:uid="{F9D9760C-6AEE-4F57-925F-2E15FD4BF1D2}"/>
    <hyperlink ref="B557" location="Interactions!$B$554" display="Interactions!$B$554" xr:uid="{0C5E7F3B-BBED-4289-BF5A-99DDBF7881B9}"/>
    <hyperlink ref="B563" location="Interactions!B566" display="Y" xr:uid="{9C908704-6F4A-468E-BEE3-4F5CDDB75A42}"/>
    <hyperlink ref="B566" location="Interactions!$B$563" display="Interactions!$B$563" xr:uid="{DD72ABDD-2072-44FA-AAA9-C4C38C9A021B}"/>
    <hyperlink ref="B572" location="Interactions!B575" display="Y" xr:uid="{B5A59EE7-1DEE-4AA8-99FC-A2AED1734428}"/>
    <hyperlink ref="B575" location="Interactions!$B$572" display="Interactions!$B$572" xr:uid="{59CB73FC-C807-4331-AC03-BE74C64D0982}"/>
    <hyperlink ref="B581" location="Interactions!B584" display="Y" xr:uid="{BEFA7566-806E-4F7D-A149-FD7390440562}"/>
    <hyperlink ref="B584" location="Interactions!$B$581" display="Interactions!$B$581" xr:uid="{F3913708-2318-4BDA-BE42-5D58C313955A}"/>
    <hyperlink ref="B590" location="Interactions!B593" display="Y" xr:uid="{44E44CE6-6B00-4784-AAF0-B2517F0EE581}"/>
    <hyperlink ref="B593" location="Interactions!$B$590" display="Interactions!$B$590" xr:uid="{32E141B9-3EE7-4880-B32D-BE25FF6AFAA1}"/>
    <hyperlink ref="B599" location="Interactions!B602" display="Y" xr:uid="{01EBF644-F323-48EA-882A-B8A6C4BA6E08}"/>
    <hyperlink ref="B602" location="Interactions!$B$599" display="Interactions!$B$599" xr:uid="{30D99544-05AF-41D2-9EAE-AD9028F18A09}"/>
    <hyperlink ref="B608" location="Interactions!B611" display="Y" xr:uid="{B8BE517E-B0C1-480D-B3C4-0AAF353B9D84}"/>
    <hyperlink ref="B611" location="Interactions!$B$608" display="Interactions!$B$608" xr:uid="{8FE5CF90-B0C1-48AF-94E0-5BB6762F82D5}"/>
    <hyperlink ref="B617" location="Interactions!B620" display="Y" xr:uid="{1B16BCE2-A7EE-4DAB-8172-373D8A6F2429}"/>
    <hyperlink ref="B620" location="Interactions!$B$617" display="Interactions!$B$617" xr:uid="{FBDE5EC0-BEE3-4C63-A513-112323A0F880}"/>
    <hyperlink ref="B626" location="Interactions!B629" display="Y" xr:uid="{7DF6178E-12F6-45C6-B2EF-B514701A5763}"/>
    <hyperlink ref="B629" location="Interactions!$B$626" display="Interactions!$B$626" xr:uid="{B101F4FC-139B-483E-82E9-C8A62AFC2218}"/>
    <hyperlink ref="B635" location="Interactions!B638" display="Y" xr:uid="{EC2194D2-CCE6-4C86-B2AF-82CD40F982BC}"/>
    <hyperlink ref="B638" location="Interactions!$B$635" display="Interactions!$B$635" xr:uid="{B019D7B6-5B0A-45A7-9159-6927282471BF}"/>
    <hyperlink ref="B644" location="Interactions!B647" display="Y" xr:uid="{0C5CFA96-BAC9-4B00-BC1A-8045DC0C6EC5}"/>
    <hyperlink ref="B647" location="Interactions!$B$644" display="Interactions!$B$644" xr:uid="{D6E98199-403B-45B5-842F-6CB87857D841}"/>
    <hyperlink ref="B653" location="Interactions!B656" display="Y" xr:uid="{D135C6A2-8E12-4556-9F84-5DB35CC87971}"/>
    <hyperlink ref="B656" location="Interactions!$B$653" display="Interactions!$B$653" xr:uid="{0B57557A-45A0-4EA2-AF30-73D468325FFB}"/>
    <hyperlink ref="B662" location="Interactions!B665" display="Y" xr:uid="{73EBECBC-7F7E-4B30-8C64-0E5B0AACF418}"/>
    <hyperlink ref="B665" location="Interactions!$B$662" display="Interactions!$B$662" xr:uid="{773626DD-45BF-4E4B-A9C2-4280613F4C36}"/>
    <hyperlink ref="B671" location="Interactions!B674" display="Y" xr:uid="{26D2843F-872E-4D7D-94FD-24EADFA8BD88}"/>
    <hyperlink ref="B674" location="Interactions!$B$671" display="Interactions!$B$671" xr:uid="{C2F30F11-3AC6-4F1C-BCFE-066873392934}"/>
    <hyperlink ref="B680" location="Interactions!B683" display="Y" xr:uid="{D9E4982C-5B55-4E02-A94B-3493122A71B5}"/>
    <hyperlink ref="B683" location="Interactions!$B$680" display="Interactions!$B$680" xr:uid="{2258203C-7991-4B03-9702-732F37B1ABED}"/>
    <hyperlink ref="B689" location="Interactions!B692" display="Y" xr:uid="{416FC0DA-7A83-40C1-B2D4-7505DAA9F0B3}"/>
    <hyperlink ref="B692" location="Interactions!$B$689" display="Interactions!$B$689" xr:uid="{88E54307-9D9A-42B6-BB42-2007AF1B8012}"/>
    <hyperlink ref="B698" location="Interactions!B701" display="Y" xr:uid="{58DC48AB-1A1D-4DEE-84FD-07D98F957688}"/>
    <hyperlink ref="B701" location="Interactions!$B$698" display="Interactions!$B$698" xr:uid="{5B243E80-2D68-4564-8002-1AD0884069F4}"/>
    <hyperlink ref="B707" location="Interactions!B710" display="Y" xr:uid="{07FE9DA1-4989-4ADB-A997-2DD3F7381A3F}"/>
    <hyperlink ref="B710" location="Interactions!$B$707" display="Interactions!$B$707" xr:uid="{77917685-8B61-4B76-9FC5-FEB191133F8C}"/>
    <hyperlink ref="B716" location="Interactions!B719" display="Y" xr:uid="{52133E8E-B530-4AD9-90CF-77E441324C92}"/>
    <hyperlink ref="B719" location="Interactions!$B$716" display="Interactions!$B$716" xr:uid="{4B1E9CE4-F23E-4E39-BAB8-8B255C3DC744}"/>
    <hyperlink ref="B725" location="Interactions!B728" display="Y" xr:uid="{7381C794-3936-4FA8-9543-8BF133DA1F98}"/>
    <hyperlink ref="B728" location="Interactions!$B$725" display="Interactions!$B$725" xr:uid="{E636FBAB-4666-47CB-AD04-10E0D48BB111}"/>
    <hyperlink ref="B734" location="Interactions!B737" display="Y" xr:uid="{7345004E-5A06-4E80-9FBC-9FB483C5BA3F}"/>
    <hyperlink ref="B737" location="Interactions!$B$734" display="Interactions!$B$734" xr:uid="{9CCD5A71-EDF0-45A7-84E5-B47D39FBEF8E}"/>
    <hyperlink ref="B743" location="Interactions!B746" display="Y" xr:uid="{D39DFAD8-0570-4AA3-9D03-229D9F3BAA27}"/>
    <hyperlink ref="B746" location="Interactions!$B$743" display="Interactions!$B$743" xr:uid="{6A28A5F3-7C73-4974-BE02-082BB4317BDF}"/>
    <hyperlink ref="B752" location="Interactions!B755" display="Y" xr:uid="{52752D3B-BC14-4107-A259-2FD6293B0465}"/>
    <hyperlink ref="B755" location="Interactions!$B$752" display="Interactions!$B$752" xr:uid="{45E3F57F-FE41-4730-8392-5CF9919B2BDE}"/>
    <hyperlink ref="B761" location="Interactions!B764" display="Y" xr:uid="{CEACEC40-5FEA-4970-A111-7A81D5432DD3}"/>
    <hyperlink ref="B764" location="Interactions!$B$761" display="Interactions!$B$761" xr:uid="{019A991E-0C7E-43FE-82E0-87603E4E2204}"/>
    <hyperlink ref="B770" location="Interactions!B773" display="Y" xr:uid="{B128D7B3-8280-4299-A187-CFA5D7BF8A01}"/>
    <hyperlink ref="B773" location="Interactions!$B$770" display="Interactions!$B$770" xr:uid="{717206E0-7836-4212-A9A0-5366D9A2A935}"/>
    <hyperlink ref="B779" location="Interactions!B782" display="Y" xr:uid="{7BC4E9DD-0EB4-480D-87EA-1775AA52AA43}"/>
    <hyperlink ref="B782" location="Interactions!$B$779" display="Interactions!$B$779" xr:uid="{288ABC48-5B87-479D-9F1F-D949FD273AF6}"/>
    <hyperlink ref="B788" location="Interactions!B791" display="Y" xr:uid="{8A2FCCE1-511F-4C86-A68E-3281205F7537}"/>
    <hyperlink ref="B791" location="Interactions!$B$788" display="Interactions!$B$788" xr:uid="{96907E9D-DFA7-44D7-9EDA-5BD694C83CB1}"/>
    <hyperlink ref="B797" location="Interactions!B800" display="Y" xr:uid="{FEF83AD5-ACAF-4AA6-803A-005A73112A27}"/>
    <hyperlink ref="B800" location="Interactions!$B$797" display="Interactions!$B$797" xr:uid="{0C14876D-AFE7-4557-956F-8D2072C283F0}"/>
    <hyperlink ref="B806" location="Interactions!B809" display="Y" xr:uid="{2B00E428-EEA2-4521-A24E-0AB435A741EA}"/>
    <hyperlink ref="B809" location="Interactions!$B$806" display="Interactions!$B$806" xr:uid="{14EFEC89-FB51-4B30-9721-2F698D50695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de2aea6-bdc3-4e5f-b0ae-84d85b5764e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6A3DB4B0A5FF4A85E5854FA9B1BD84" ma:contentTypeVersion="13" ma:contentTypeDescription="Create a new document." ma:contentTypeScope="" ma:versionID="a222eb7ab0cf4508cce7c7319f3c2955">
  <xsd:schema xmlns:xsd="http://www.w3.org/2001/XMLSchema" xmlns:xs="http://www.w3.org/2001/XMLSchema" xmlns:p="http://schemas.microsoft.com/office/2006/metadata/properties" xmlns:ns2="5de2aea6-bdc3-4e5f-b0ae-84d85b5764e4" xmlns:ns3="d27fc6f8-d518-4cdb-8bab-875cbacf3583" targetNamespace="http://schemas.microsoft.com/office/2006/metadata/properties" ma:root="true" ma:fieldsID="daa2ef1fbb8a42edff9ae6aeec006a1a" ns2:_="" ns3:_="">
    <xsd:import namespace="5de2aea6-bdc3-4e5f-b0ae-84d85b5764e4"/>
    <xsd:import namespace="d27fc6f8-d518-4cdb-8bab-875cbacf35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2aea6-bdc3-4e5f-b0ae-84d85b576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7fc6f8-d518-4cdb-8bab-875cbacf358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C83514-B692-4D4D-8956-4E16C3A240B1}">
  <ds:schemaRefs>
    <ds:schemaRef ds:uri="http://schemas.microsoft.com/office/2006/metadata/properties"/>
    <ds:schemaRef ds:uri="http://schemas.microsoft.com/office/infopath/2007/PartnerControls"/>
    <ds:schemaRef ds:uri="5de2aea6-bdc3-4e5f-b0ae-84d85b5764e4"/>
  </ds:schemaRefs>
</ds:datastoreItem>
</file>

<file path=customXml/itemProps2.xml><?xml version="1.0" encoding="utf-8"?>
<ds:datastoreItem xmlns:ds="http://schemas.openxmlformats.org/officeDocument/2006/customXml" ds:itemID="{62ABA91F-F5A0-4281-AA32-6A121632A9B6}">
  <ds:schemaRefs>
    <ds:schemaRef ds:uri="http://schemas.microsoft.com/sharepoint/v3/contenttype/forms"/>
  </ds:schemaRefs>
</ds:datastoreItem>
</file>

<file path=customXml/itemProps3.xml><?xml version="1.0" encoding="utf-8"?>
<ds:datastoreItem xmlns:ds="http://schemas.openxmlformats.org/officeDocument/2006/customXml" ds:itemID="{981CC9CD-796D-482A-8F90-A24AF6DE78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e2aea6-bdc3-4e5f-b0ae-84d85b5764e4"/>
    <ds:schemaRef ds:uri="d27fc6f8-d518-4cdb-8bab-875cbacf3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Population Definitions</vt:lpstr>
      <vt:lpstr>Antenatal care</vt:lpstr>
      <vt:lpstr>Asphyxia</vt:lpstr>
      <vt:lpstr>Anemia</vt:lpstr>
      <vt:lpstr>Hemorrhage</vt:lpstr>
      <vt:lpstr>Maternal sepsis</vt:lpstr>
      <vt:lpstr>Obstructed labor</vt:lpstr>
      <vt:lpstr>Other neonatal conditions</vt:lpstr>
      <vt:lpstr>Neonatal sepsis</vt:lpstr>
      <vt:lpstr>Preterm</vt:lpstr>
      <vt:lpstr>RDS</vt:lpstr>
      <vt:lpstr>Wasting</vt:lpstr>
      <vt:lpstr>Stunting</vt:lpstr>
      <vt:lpstr>Preeclampsia</vt:lpstr>
      <vt:lpstr>Maternal nutrition</vt:lpstr>
      <vt:lpstr>Stitching</vt:lpstr>
      <vt:lpstr>Interactions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Walsh</dc:creator>
  <cp:lastModifiedBy>Tom Walsh</cp:lastModifiedBy>
  <dcterms:created xsi:type="dcterms:W3CDTF">2022-07-18T04:43:39Z</dcterms:created>
  <dcterms:modified xsi:type="dcterms:W3CDTF">2026-02-23T00:42:45Z</dcterms:modified>
  <cp:category>atomica:databook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0x010100856A3DB4B0A5FF4A85E5854FA9B1BD84</vt:lpwstr>
  </property>
</Properties>
</file>