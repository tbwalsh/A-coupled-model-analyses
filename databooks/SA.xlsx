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threadedComments/threadedComment1.xml" ContentType="application/vnd.ms-excel.threadedcomments+xml"/>
  <Override PartName="/xl/comments13.xml" ContentType="application/vnd.openxmlformats-officedocument.spreadsheetml.comments+xml"/>
  <Override PartName="/xl/threadedComments/threadedComment2.xml" ContentType="application/vnd.ms-excel.threaded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tom.walsh\Projects\A-coupled-model-analyses\databooks\"/>
    </mc:Choice>
  </mc:AlternateContent>
  <xr:revisionPtr revIDLastSave="0" documentId="13_ncr:1_{C3F835BF-C180-417F-B4C7-2967F3B103C9}" xr6:coauthVersionLast="47" xr6:coauthVersionMax="47" xr10:uidLastSave="{00000000-0000-0000-0000-000000000000}"/>
  <bookViews>
    <workbookView xWindow="-14835" yWindow="-16320" windowWidth="29040" windowHeight="15720" firstSheet="8" activeTab="14" xr2:uid="{00000000-000D-0000-FFFF-FFFF00000000}"/>
  </bookViews>
  <sheets>
    <sheet name="Population Definitions" sheetId="1" r:id="rId1"/>
    <sheet name="Antenatal care" sheetId="2" r:id="rId2"/>
    <sheet name="Asphyxia" sheetId="3" r:id="rId3"/>
    <sheet name="Hemorrhage" sheetId="5" r:id="rId4"/>
    <sheet name="Anemia" sheetId="4" r:id="rId5"/>
    <sheet name="Maternal sepsis" sheetId="6" r:id="rId6"/>
    <sheet name="Obstructed labor" sheetId="8" r:id="rId7"/>
    <sheet name="Other neonatal conditions" sheetId="9" r:id="rId8"/>
    <sheet name="Neonatal sepsis" sheetId="10" r:id="rId9"/>
    <sheet name="Preterm" sheetId="11" r:id="rId10"/>
    <sheet name="RDS" sheetId="12" r:id="rId11"/>
    <sheet name="Wasting" sheetId="13" r:id="rId12"/>
    <sheet name="Stunting" sheetId="14" r:id="rId13"/>
    <sheet name="Preeclampsia" sheetId="18" r:id="rId14"/>
    <sheet name="Maternal nutrition" sheetId="19" r:id="rId15"/>
    <sheet name="Stitching" sheetId="15" r:id="rId16"/>
    <sheet name="Interactions" sheetId="16" r:id="rId17"/>
  </sheets>
  <externalReferences>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4" hidden="1">Anemia!$A$1:$L$62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8" i="13" l="1"/>
  <c r="E95" i="13"/>
  <c r="E92" i="13"/>
  <c r="E89" i="13"/>
  <c r="E80" i="13"/>
  <c r="E77" i="13"/>
  <c r="E74" i="13"/>
  <c r="E71" i="13"/>
  <c r="A12" i="2" l="1"/>
  <c r="A9" i="2"/>
  <c r="H809" i="16" l="1"/>
  <c r="C809" i="16"/>
  <c r="B809" i="16"/>
  <c r="A809" i="16"/>
  <c r="A806" i="16"/>
  <c r="B805" i="16"/>
  <c r="H800" i="16"/>
  <c r="C800" i="16"/>
  <c r="B800" i="16"/>
  <c r="A800" i="16"/>
  <c r="A797" i="16"/>
  <c r="B796" i="16"/>
  <c r="H791" i="16"/>
  <c r="C791" i="16"/>
  <c r="B791" i="16"/>
  <c r="A791" i="16"/>
  <c r="A788" i="16"/>
  <c r="B787" i="16"/>
  <c r="H782" i="16"/>
  <c r="C782" i="16"/>
  <c r="B782" i="16"/>
  <c r="A782" i="16"/>
  <c r="A779" i="16"/>
  <c r="B778" i="16"/>
  <c r="H773" i="16"/>
  <c r="C773" i="16"/>
  <c r="B773" i="16"/>
  <c r="A773" i="16"/>
  <c r="A770" i="16"/>
  <c r="B769" i="16"/>
  <c r="H764" i="16"/>
  <c r="C764" i="16"/>
  <c r="B764" i="16"/>
  <c r="A764" i="16"/>
  <c r="A761" i="16"/>
  <c r="B760" i="16"/>
  <c r="H755" i="16"/>
  <c r="C755" i="16"/>
  <c r="B755" i="16"/>
  <c r="A755" i="16"/>
  <c r="A752" i="16"/>
  <c r="B751" i="16"/>
  <c r="H746" i="16"/>
  <c r="C746" i="16"/>
  <c r="B746" i="16"/>
  <c r="A746" i="16"/>
  <c r="A743" i="16"/>
  <c r="B742" i="16"/>
  <c r="H737" i="16"/>
  <c r="C737" i="16"/>
  <c r="B737" i="16"/>
  <c r="A737" i="16"/>
  <c r="A734" i="16"/>
  <c r="B733" i="16"/>
  <c r="H728" i="16"/>
  <c r="C728" i="16"/>
  <c r="B728" i="16"/>
  <c r="A728" i="16"/>
  <c r="A725" i="16"/>
  <c r="B724" i="16"/>
  <c r="H719" i="16"/>
  <c r="C719" i="16"/>
  <c r="B719" i="16"/>
  <c r="A719" i="16"/>
  <c r="A716" i="16"/>
  <c r="B715" i="16"/>
  <c r="H710" i="16"/>
  <c r="C710" i="16"/>
  <c r="B710" i="16"/>
  <c r="A710" i="16"/>
  <c r="A707" i="16"/>
  <c r="B706" i="16"/>
  <c r="H701" i="16"/>
  <c r="C701" i="16"/>
  <c r="B701" i="16"/>
  <c r="A701" i="16"/>
  <c r="A698" i="16"/>
  <c r="B697" i="16"/>
  <c r="H692" i="16"/>
  <c r="C692" i="16"/>
  <c r="B692" i="16"/>
  <c r="A692" i="16"/>
  <c r="A689" i="16"/>
  <c r="B688" i="16"/>
  <c r="H683" i="16"/>
  <c r="C683" i="16"/>
  <c r="B683" i="16"/>
  <c r="A683" i="16"/>
  <c r="A680" i="16"/>
  <c r="B679" i="16"/>
  <c r="H674" i="16"/>
  <c r="C674" i="16"/>
  <c r="B674" i="16"/>
  <c r="A674" i="16"/>
  <c r="A671" i="16"/>
  <c r="B670" i="16"/>
  <c r="H665" i="16"/>
  <c r="C665" i="16"/>
  <c r="B665" i="16"/>
  <c r="A665" i="16"/>
  <c r="A662" i="16"/>
  <c r="B661" i="16"/>
  <c r="H656" i="16"/>
  <c r="C656" i="16"/>
  <c r="B656" i="16"/>
  <c r="A656" i="16"/>
  <c r="A653" i="16"/>
  <c r="B652" i="16"/>
  <c r="H647" i="16"/>
  <c r="C647" i="16"/>
  <c r="B647" i="16"/>
  <c r="A647" i="16"/>
  <c r="A644" i="16"/>
  <c r="B643" i="16"/>
  <c r="H638" i="16"/>
  <c r="C638" i="16"/>
  <c r="B638" i="16"/>
  <c r="A638" i="16"/>
  <c r="A635" i="16"/>
  <c r="B634" i="16"/>
  <c r="H629" i="16"/>
  <c r="C629" i="16"/>
  <c r="B629" i="16"/>
  <c r="A629" i="16"/>
  <c r="A626" i="16"/>
  <c r="B625" i="16"/>
  <c r="H620" i="16"/>
  <c r="C620" i="16"/>
  <c r="B620" i="16"/>
  <c r="A620" i="16"/>
  <c r="A617" i="16"/>
  <c r="B616" i="16"/>
  <c r="H611" i="16"/>
  <c r="C611" i="16"/>
  <c r="B611" i="16"/>
  <c r="A611" i="16"/>
  <c r="A608" i="16"/>
  <c r="B607" i="16"/>
  <c r="H602" i="16"/>
  <c r="C602" i="16"/>
  <c r="B602" i="16"/>
  <c r="A602" i="16"/>
  <c r="A599" i="16"/>
  <c r="B598" i="16"/>
  <c r="H593" i="16"/>
  <c r="C593" i="16"/>
  <c r="B593" i="16"/>
  <c r="A593" i="16"/>
  <c r="A590" i="16"/>
  <c r="B589" i="16"/>
  <c r="H584" i="16"/>
  <c r="C584" i="16"/>
  <c r="B584" i="16"/>
  <c r="A584" i="16"/>
  <c r="A581" i="16"/>
  <c r="B580" i="16"/>
  <c r="H575" i="16"/>
  <c r="C575" i="16"/>
  <c r="B575" i="16"/>
  <c r="A575" i="16"/>
  <c r="A572" i="16"/>
  <c r="B571" i="16"/>
  <c r="H566" i="16"/>
  <c r="C566" i="16"/>
  <c r="B566" i="16"/>
  <c r="A566" i="16"/>
  <c r="A563" i="16"/>
  <c r="B562" i="16"/>
  <c r="H557" i="16"/>
  <c r="C557" i="16"/>
  <c r="B557" i="16"/>
  <c r="A557" i="16"/>
  <c r="A554" i="16"/>
  <c r="B553" i="16"/>
  <c r="H548" i="16"/>
  <c r="C548" i="16"/>
  <c r="B548" i="16"/>
  <c r="A548" i="16"/>
  <c r="A545" i="16"/>
  <c r="B544" i="16"/>
  <c r="H539" i="16"/>
  <c r="C539" i="16"/>
  <c r="B539" i="16"/>
  <c r="A539" i="16"/>
  <c r="A536" i="16"/>
  <c r="B535" i="16"/>
  <c r="H530" i="16"/>
  <c r="C530" i="16"/>
  <c r="B530" i="16"/>
  <c r="A530" i="16"/>
  <c r="A527" i="16"/>
  <c r="B526" i="16"/>
  <c r="H521" i="16"/>
  <c r="C521" i="16"/>
  <c r="B521" i="16"/>
  <c r="A521" i="16"/>
  <c r="A518" i="16"/>
  <c r="B517" i="16"/>
  <c r="H512" i="16"/>
  <c r="C512" i="16"/>
  <c r="B512" i="16"/>
  <c r="A512" i="16"/>
  <c r="A509" i="16"/>
  <c r="B508" i="16"/>
  <c r="H503" i="16"/>
  <c r="C503" i="16"/>
  <c r="B503" i="16"/>
  <c r="A503" i="16"/>
  <c r="A500" i="16"/>
  <c r="B499" i="16"/>
  <c r="H494" i="16"/>
  <c r="C494" i="16"/>
  <c r="B494" i="16"/>
  <c r="A494" i="16"/>
  <c r="A491" i="16"/>
  <c r="B490" i="16"/>
  <c r="H485" i="16"/>
  <c r="C485" i="16"/>
  <c r="B485" i="16"/>
  <c r="A485" i="16"/>
  <c r="A482" i="16"/>
  <c r="B481" i="16"/>
  <c r="H476" i="16"/>
  <c r="C476" i="16"/>
  <c r="B476" i="16"/>
  <c r="A476" i="16"/>
  <c r="A473" i="16"/>
  <c r="B472" i="16"/>
  <c r="H467" i="16"/>
  <c r="C467" i="16"/>
  <c r="B467" i="16"/>
  <c r="A467" i="16"/>
  <c r="A464" i="16"/>
  <c r="B463" i="16"/>
  <c r="H458" i="16"/>
  <c r="C458" i="16"/>
  <c r="B458" i="16"/>
  <c r="A458" i="16"/>
  <c r="A455" i="16"/>
  <c r="B454" i="16"/>
  <c r="H449" i="16"/>
  <c r="C449" i="16"/>
  <c r="B449" i="16"/>
  <c r="A449" i="16"/>
  <c r="A446" i="16"/>
  <c r="B445" i="16"/>
  <c r="H440" i="16"/>
  <c r="C440" i="16"/>
  <c r="B440" i="16"/>
  <c r="A440" i="16"/>
  <c r="A437" i="16"/>
  <c r="B436" i="16"/>
  <c r="H431" i="16"/>
  <c r="C431" i="16"/>
  <c r="B431" i="16"/>
  <c r="A431" i="16"/>
  <c r="A428" i="16"/>
  <c r="B427" i="16"/>
  <c r="H422" i="16"/>
  <c r="C422" i="16"/>
  <c r="B422" i="16"/>
  <c r="A422" i="16"/>
  <c r="A419" i="16"/>
  <c r="B418" i="16"/>
  <c r="H413" i="16"/>
  <c r="C413" i="16"/>
  <c r="B413" i="16"/>
  <c r="A413" i="16"/>
  <c r="A410" i="16"/>
  <c r="B409" i="16"/>
  <c r="H404" i="16"/>
  <c r="C404" i="16"/>
  <c r="B404" i="16"/>
  <c r="A404" i="16"/>
  <c r="A401" i="16"/>
  <c r="B400" i="16"/>
  <c r="H395" i="16"/>
  <c r="C395" i="16"/>
  <c r="B395" i="16"/>
  <c r="A395" i="16"/>
  <c r="A392" i="16"/>
  <c r="B391" i="16"/>
  <c r="H386" i="16"/>
  <c r="C386" i="16"/>
  <c r="B386" i="16"/>
  <c r="A386" i="16"/>
  <c r="A383" i="16"/>
  <c r="B382" i="16"/>
  <c r="H377" i="16"/>
  <c r="C377" i="16"/>
  <c r="B377" i="16"/>
  <c r="A377" i="16"/>
  <c r="A374" i="16"/>
  <c r="B373" i="16"/>
  <c r="H368" i="16"/>
  <c r="C368" i="16"/>
  <c r="B368" i="16"/>
  <c r="A368" i="16"/>
  <c r="A365" i="16"/>
  <c r="B364" i="16"/>
  <c r="H359" i="16"/>
  <c r="C359" i="16"/>
  <c r="B359" i="16"/>
  <c r="A359" i="16"/>
  <c r="A356" i="16"/>
  <c r="B355" i="16"/>
  <c r="H350" i="16"/>
  <c r="C350" i="16"/>
  <c r="B350" i="16"/>
  <c r="A350" i="16"/>
  <c r="A347" i="16"/>
  <c r="B346" i="16"/>
  <c r="H341" i="16"/>
  <c r="C341" i="16"/>
  <c r="B341" i="16"/>
  <c r="A341" i="16"/>
  <c r="A338" i="16"/>
  <c r="B337" i="16"/>
  <c r="H332" i="16"/>
  <c r="C332" i="16"/>
  <c r="B332" i="16"/>
  <c r="A332" i="16"/>
  <c r="A329" i="16"/>
  <c r="B328" i="16"/>
  <c r="H323" i="16"/>
  <c r="C323" i="16"/>
  <c r="B323" i="16"/>
  <c r="A323" i="16"/>
  <c r="A320" i="16"/>
  <c r="B319" i="16"/>
  <c r="H314" i="16"/>
  <c r="C314" i="16"/>
  <c r="B314" i="16"/>
  <c r="A314" i="16"/>
  <c r="A311" i="16"/>
  <c r="B310" i="16"/>
  <c r="H305" i="16"/>
  <c r="C305" i="16"/>
  <c r="B305" i="16"/>
  <c r="A305" i="16"/>
  <c r="A302" i="16"/>
  <c r="B301" i="16"/>
  <c r="H296" i="16"/>
  <c r="C296" i="16"/>
  <c r="B296" i="16"/>
  <c r="A296" i="16"/>
  <c r="A293" i="16"/>
  <c r="B292" i="16"/>
  <c r="H287" i="16"/>
  <c r="C287" i="16"/>
  <c r="B287" i="16"/>
  <c r="A287" i="16"/>
  <c r="A284" i="16"/>
  <c r="B283" i="16"/>
  <c r="H278" i="16"/>
  <c r="C278" i="16"/>
  <c r="B278" i="16"/>
  <c r="A278" i="16"/>
  <c r="A275" i="16"/>
  <c r="B274" i="16"/>
  <c r="H269" i="16"/>
  <c r="C269" i="16"/>
  <c r="B269" i="16"/>
  <c r="A269" i="16"/>
  <c r="A266" i="16"/>
  <c r="B265" i="16"/>
  <c r="H260" i="16"/>
  <c r="C260" i="16"/>
  <c r="B260" i="16"/>
  <c r="A260" i="16"/>
  <c r="A257" i="16"/>
  <c r="B256" i="16"/>
  <c r="H251" i="16"/>
  <c r="C251" i="16"/>
  <c r="B251" i="16"/>
  <c r="A251" i="16"/>
  <c r="A248" i="16"/>
  <c r="B247" i="16"/>
  <c r="H242" i="16"/>
  <c r="C242" i="16"/>
  <c r="B242" i="16"/>
  <c r="A242" i="16"/>
  <c r="A239" i="16"/>
  <c r="B238" i="16"/>
  <c r="H233" i="16"/>
  <c r="C233" i="16"/>
  <c r="B233" i="16"/>
  <c r="A233" i="16"/>
  <c r="A230" i="16"/>
  <c r="B229" i="16"/>
  <c r="H224" i="16"/>
  <c r="C224" i="16"/>
  <c r="B224" i="16"/>
  <c r="A224" i="16"/>
  <c r="A221" i="16"/>
  <c r="B220" i="16"/>
  <c r="H215" i="16"/>
  <c r="C215" i="16"/>
  <c r="B215" i="16"/>
  <c r="A215" i="16"/>
  <c r="A212" i="16"/>
  <c r="B211" i="16"/>
  <c r="H206" i="16"/>
  <c r="C206" i="16"/>
  <c r="B206" i="16"/>
  <c r="A206" i="16"/>
  <c r="A203" i="16"/>
  <c r="B202" i="16"/>
  <c r="H197" i="16"/>
  <c r="C197" i="16"/>
  <c r="B197" i="16"/>
  <c r="A197" i="16"/>
  <c r="A194" i="16"/>
  <c r="B193" i="16"/>
  <c r="H188" i="16"/>
  <c r="C188" i="16"/>
  <c r="B188" i="16"/>
  <c r="A188" i="16"/>
  <c r="A185" i="16"/>
  <c r="B184" i="16"/>
  <c r="H179" i="16"/>
  <c r="C179" i="16"/>
  <c r="B179" i="16"/>
  <c r="A179" i="16"/>
  <c r="A176" i="16"/>
  <c r="B175" i="16"/>
  <c r="H170" i="16"/>
  <c r="C170" i="16"/>
  <c r="B170" i="16"/>
  <c r="A170" i="16"/>
  <c r="A167" i="16"/>
  <c r="B166" i="16"/>
  <c r="H161" i="16"/>
  <c r="C161" i="16"/>
  <c r="B161" i="16"/>
  <c r="A161" i="16"/>
  <c r="A158" i="16"/>
  <c r="B157" i="16"/>
  <c r="H152" i="16"/>
  <c r="C152" i="16"/>
  <c r="B152" i="16"/>
  <c r="A152" i="16"/>
  <c r="A149" i="16"/>
  <c r="B148" i="16"/>
  <c r="H143" i="16"/>
  <c r="C143" i="16"/>
  <c r="B143" i="16"/>
  <c r="A143" i="16"/>
  <c r="A140" i="16"/>
  <c r="B139" i="16"/>
  <c r="H134" i="16"/>
  <c r="C134" i="16"/>
  <c r="B134" i="16"/>
  <c r="A134" i="16"/>
  <c r="A131" i="16"/>
  <c r="B130" i="16"/>
  <c r="H125" i="16"/>
  <c r="C125" i="16"/>
  <c r="B125" i="16"/>
  <c r="A125" i="16"/>
  <c r="A122" i="16"/>
  <c r="B121" i="16"/>
  <c r="H116" i="16"/>
  <c r="C116" i="16"/>
  <c r="B116" i="16"/>
  <c r="A116" i="16"/>
  <c r="A113" i="16"/>
  <c r="B112" i="16"/>
  <c r="H107" i="16"/>
  <c r="C107" i="16"/>
  <c r="B107" i="16"/>
  <c r="A107" i="16"/>
  <c r="A104" i="16"/>
  <c r="B103" i="16"/>
  <c r="H98" i="16"/>
  <c r="C98" i="16"/>
  <c r="B98" i="16"/>
  <c r="A98" i="16"/>
  <c r="A95" i="16"/>
  <c r="B94" i="16"/>
  <c r="H89" i="16"/>
  <c r="C89" i="16"/>
  <c r="B89" i="16"/>
  <c r="A89" i="16"/>
  <c r="A86" i="16"/>
  <c r="B85" i="16"/>
  <c r="H80" i="16"/>
  <c r="C80" i="16"/>
  <c r="B80" i="16"/>
  <c r="A80" i="16"/>
  <c r="A77" i="16"/>
  <c r="B76" i="16"/>
  <c r="H71" i="16"/>
  <c r="C71" i="16"/>
  <c r="B71" i="16"/>
  <c r="A71" i="16"/>
  <c r="A68" i="16"/>
  <c r="B67" i="16"/>
  <c r="H62" i="16"/>
  <c r="C62" i="16"/>
  <c r="B62" i="16"/>
  <c r="A62" i="16"/>
  <c r="A59" i="16"/>
  <c r="B58" i="16"/>
  <c r="H53" i="16"/>
  <c r="C53" i="16"/>
  <c r="B53" i="16"/>
  <c r="A53" i="16"/>
  <c r="A50" i="16"/>
  <c r="B49" i="16"/>
  <c r="H44" i="16"/>
  <c r="C44" i="16"/>
  <c r="B44" i="16"/>
  <c r="A44" i="16"/>
  <c r="A41" i="16"/>
  <c r="B40" i="16"/>
  <c r="H35" i="16"/>
  <c r="C35" i="16"/>
  <c r="B35" i="16"/>
  <c r="A35" i="16"/>
  <c r="A32" i="16"/>
  <c r="B31" i="16"/>
  <c r="H26" i="16"/>
  <c r="C26" i="16"/>
  <c r="B26" i="16"/>
  <c r="A26" i="16"/>
  <c r="A23" i="16"/>
  <c r="B22" i="16"/>
  <c r="H17" i="16"/>
  <c r="C17" i="16"/>
  <c r="B17" i="16"/>
  <c r="A17" i="16"/>
  <c r="A14" i="16"/>
  <c r="B13" i="16"/>
  <c r="H8" i="16"/>
  <c r="C8" i="16"/>
  <c r="B8" i="16"/>
  <c r="A8" i="16"/>
  <c r="A5" i="16"/>
  <c r="B4" i="16"/>
  <c r="H36" i="2"/>
  <c r="I36" i="2"/>
  <c r="J36" i="2"/>
  <c r="K36" i="2"/>
  <c r="L36" i="2"/>
  <c r="M36" i="2"/>
  <c r="N36" i="2"/>
  <c r="O36" i="2"/>
  <c r="P36" i="2"/>
  <c r="Q36" i="2"/>
  <c r="R36" i="2"/>
  <c r="S36" i="2"/>
  <c r="T36" i="2"/>
  <c r="U36" i="2"/>
  <c r="V36" i="2"/>
  <c r="W36" i="2"/>
  <c r="X36" i="2"/>
  <c r="Y36" i="2"/>
  <c r="Z36" i="2"/>
  <c r="AA36" i="2"/>
  <c r="AB36" i="2"/>
  <c r="AC36" i="2"/>
  <c r="AD36" i="2"/>
  <c r="AE36" i="2"/>
  <c r="AF36" i="2"/>
  <c r="AG36" i="2"/>
  <c r="AH36" i="2"/>
  <c r="AI36" i="2"/>
  <c r="AJ36" i="2"/>
  <c r="AK36" i="2"/>
  <c r="G36" i="2"/>
  <c r="A11" i="14" l="1"/>
  <c r="A8" i="14"/>
  <c r="A14" i="14"/>
  <c r="A5" i="14"/>
  <c r="A2" i="14"/>
  <c r="A107" i="13"/>
  <c r="A104" i="13"/>
  <c r="A101" i="13"/>
  <c r="A98" i="13"/>
  <c r="A95" i="13"/>
  <c r="A92" i="13"/>
  <c r="A89" i="13"/>
  <c r="A86" i="13"/>
  <c r="A83" i="13"/>
  <c r="A80" i="13"/>
  <c r="A77" i="13"/>
  <c r="A74" i="13"/>
  <c r="A71" i="13"/>
  <c r="A68" i="13"/>
  <c r="A65" i="13"/>
  <c r="A62" i="13"/>
  <c r="A59" i="13"/>
  <c r="A56" i="13"/>
  <c r="A53" i="13"/>
  <c r="A50" i="13"/>
  <c r="A47" i="13"/>
  <c r="A44" i="13"/>
  <c r="A41" i="13"/>
  <c r="A38" i="13"/>
  <c r="A35" i="13"/>
  <c r="A32" i="13"/>
  <c r="A29" i="13"/>
  <c r="A26" i="13"/>
  <c r="A23" i="13"/>
  <c r="A20" i="13"/>
  <c r="A17" i="13"/>
  <c r="A14" i="13"/>
  <c r="A11" i="13"/>
  <c r="A8" i="13"/>
  <c r="A5" i="13"/>
  <c r="A2" i="13"/>
  <c r="A35" i="12"/>
  <c r="A32" i="12"/>
  <c r="A29" i="12"/>
  <c r="A26" i="12"/>
  <c r="A23" i="12"/>
  <c r="A20" i="12"/>
  <c r="A17" i="12"/>
  <c r="A14" i="12"/>
  <c r="A11" i="12"/>
  <c r="A8" i="12"/>
  <c r="A5" i="12"/>
  <c r="A2" i="12"/>
  <c r="A98" i="11"/>
  <c r="A95" i="11"/>
  <c r="A92" i="11"/>
  <c r="A89" i="11"/>
  <c r="A86" i="11"/>
  <c r="A80" i="11"/>
  <c r="A74" i="11"/>
  <c r="A71" i="11"/>
  <c r="A68" i="11"/>
  <c r="A65" i="11"/>
  <c r="A62" i="11"/>
  <c r="A59" i="11"/>
  <c r="A56" i="11"/>
  <c r="A53" i="11"/>
  <c r="A50" i="11"/>
  <c r="A44" i="11"/>
  <c r="A47" i="11"/>
  <c r="A41" i="11"/>
  <c r="A32" i="11"/>
  <c r="A29" i="11"/>
  <c r="A26" i="11"/>
  <c r="A23" i="11"/>
  <c r="A20" i="11"/>
  <c r="A17" i="11"/>
  <c r="A14" i="11"/>
  <c r="A11" i="11"/>
  <c r="A8" i="11"/>
  <c r="A5" i="11"/>
  <c r="A2" i="11"/>
  <c r="A14" i="9"/>
  <c r="A11" i="9"/>
  <c r="A8" i="9"/>
  <c r="A5" i="9"/>
  <c r="A2" i="9"/>
  <c r="A29" i="10"/>
  <c r="A26" i="10"/>
  <c r="A23" i="10"/>
  <c r="A20" i="10"/>
  <c r="A17" i="10"/>
  <c r="A14" i="10"/>
  <c r="A11" i="10"/>
  <c r="A8" i="10"/>
  <c r="A5" i="10"/>
  <c r="A2" i="10"/>
  <c r="A38" i="8"/>
  <c r="A35" i="8"/>
  <c r="A32" i="8"/>
  <c r="A29" i="8"/>
  <c r="A26" i="8"/>
  <c r="A23" i="8"/>
  <c r="A20" i="8"/>
  <c r="A17" i="8"/>
  <c r="A14" i="8"/>
  <c r="A11" i="8"/>
  <c r="A8" i="8"/>
  <c r="A5" i="8"/>
  <c r="A2" i="8"/>
  <c r="A2" i="2"/>
  <c r="A6" i="2"/>
  <c r="A15" i="2"/>
  <c r="A18" i="2"/>
  <c r="A21" i="2"/>
  <c r="A24" i="2"/>
  <c r="A27" i="2"/>
  <c r="A30" i="2"/>
  <c r="A33" i="2"/>
  <c r="A36" i="2"/>
  <c r="A40" i="2"/>
  <c r="A11" i="19"/>
  <c r="A8" i="19"/>
  <c r="A5" i="19"/>
  <c r="A2" i="19"/>
  <c r="A44" i="18"/>
  <c r="A41" i="18"/>
  <c r="A38" i="18"/>
  <c r="A35" i="18"/>
  <c r="A32" i="18"/>
  <c r="A29" i="18"/>
  <c r="A26" i="18"/>
  <c r="A23" i="18"/>
  <c r="A20" i="18"/>
  <c r="A17" i="18"/>
  <c r="A14" i="18"/>
  <c r="A11" i="18"/>
  <c r="A8" i="18"/>
  <c r="A5" i="18"/>
  <c r="A2" i="18"/>
  <c r="A38" i="11" l="1"/>
  <c r="A35" i="11"/>
  <c r="A17" i="3"/>
  <c r="A14" i="3"/>
  <c r="A60" i="3"/>
  <c r="A57" i="3"/>
  <c r="A2" i="6" l="1"/>
  <c r="A59" i="4"/>
  <c r="A56" i="4"/>
  <c r="A53" i="4"/>
  <c r="A44" i="3"/>
  <c r="A41" i="3"/>
  <c r="A38" i="3"/>
  <c r="A35" i="3"/>
  <c r="A11" i="3"/>
  <c r="A32" i="6"/>
  <c r="A29" i="6"/>
  <c r="A26" i="6"/>
  <c r="A8" i="4" l="1"/>
  <c r="E14" i="12" l="1"/>
  <c r="E11" i="12"/>
  <c r="F83" i="11" l="1"/>
  <c r="E14" i="10" l="1"/>
  <c r="F77" i="11" l="1"/>
  <c r="A23" i="6" l="1"/>
  <c r="A20" i="6"/>
  <c r="A41" i="5"/>
  <c r="A38" i="5"/>
  <c r="A53" i="3"/>
  <c r="A50" i="3"/>
  <c r="A47" i="3"/>
  <c r="B83" i="11" l="1"/>
  <c r="B77" i="11"/>
  <c r="A17" i="6"/>
  <c r="A14" i="6"/>
  <c r="A11" i="6"/>
  <c r="A8" i="6"/>
  <c r="A5" i="6"/>
  <c r="A35" i="5"/>
  <c r="A32" i="5"/>
  <c r="A29" i="5"/>
  <c r="A26" i="5"/>
  <c r="A23" i="5"/>
  <c r="A20" i="5"/>
  <c r="A17" i="5"/>
  <c r="A14" i="5"/>
  <c r="A11" i="5"/>
  <c r="A8" i="5"/>
  <c r="A5" i="5"/>
  <c r="A2" i="5"/>
  <c r="A50" i="4"/>
  <c r="A47" i="4"/>
  <c r="A44" i="4"/>
  <c r="A41" i="4"/>
  <c r="A38" i="4"/>
  <c r="A35" i="4"/>
  <c r="A32" i="4"/>
  <c r="A29" i="4"/>
  <c r="A26" i="4"/>
  <c r="A23" i="4"/>
  <c r="A20" i="4"/>
  <c r="A17" i="4"/>
  <c r="A14" i="4"/>
  <c r="A11" i="4"/>
  <c r="A5" i="4"/>
  <c r="A2" i="4"/>
  <c r="A32" i="3"/>
  <c r="A29" i="3"/>
  <c r="A26" i="3"/>
  <c r="A23" i="3"/>
  <c r="A20" i="3"/>
  <c r="A8" i="3"/>
  <c r="A5"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D74088B0-B702-4A63-88D3-527722C637F2}">
      <text>
        <r>
          <rPr>
            <sz val="8"/>
            <color indexed="81"/>
            <rFont val="Tahoma"/>
            <family val="2"/>
          </rPr>
          <t>To be calibrated</t>
        </r>
      </text>
    </comment>
    <comment ref="A35" authorId="0" shapeId="0" xr:uid="{00000000-0006-0000-0100-000001000000}">
      <text>
        <r>
          <rPr>
            <sz val="8"/>
            <color indexed="81"/>
            <rFont val="Tahoma"/>
            <family val="2"/>
          </rPr>
          <t>AMANHI: Wide range across sites; 50% is mean and is close to the median (55%). Input value to be stitched into other modules</t>
        </r>
      </text>
    </comment>
    <comment ref="A39" authorId="0" shapeId="0" xr:uid="{00000000-0006-0000-0100-000002000000}">
      <text>
        <r>
          <rPr>
            <sz val="8"/>
            <color indexed="81"/>
            <rFont val="Tahoma"/>
            <family val="2"/>
          </rPr>
          <t>Calibrate to prop_ultrasound_3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20" authorId="0" shapeId="0" xr:uid="{75D17BB6-7A12-49E5-AFF5-973818F559AB}">
      <text>
        <r>
          <rPr>
            <b/>
            <sz val="9"/>
            <color indexed="81"/>
            <rFont val="Tahoma"/>
            <family val="2"/>
          </rPr>
          <t>Tom Walsh:</t>
        </r>
        <r>
          <rPr>
            <sz val="9"/>
            <color indexed="81"/>
            <rFont val="Tahoma"/>
            <family val="2"/>
          </rPr>
          <t xml:space="preserve">
Calibrating to 0.03027</t>
        </r>
      </text>
    </comment>
    <comment ref="A22" authorId="1" shapeId="0" xr:uid="{00000000-0006-0000-0200-000001000000}">
      <text>
        <r>
          <rPr>
            <sz val="8"/>
            <color indexed="81"/>
            <rFont val="Tahoma"/>
            <family val="2"/>
          </rPr>
          <t>GBD tool</t>
        </r>
      </text>
    </comment>
    <comment ref="E23" authorId="0" shapeId="0" xr:uid="{62A1259E-DE7C-40AA-A8C2-0D347861A960}">
      <text>
        <r>
          <rPr>
            <b/>
            <sz val="9"/>
            <color indexed="81"/>
            <rFont val="Tahoma"/>
            <family val="2"/>
          </rPr>
          <t>Tom Walsh:</t>
        </r>
        <r>
          <rPr>
            <sz val="9"/>
            <color indexed="81"/>
            <rFont val="Tahoma"/>
            <family val="2"/>
          </rPr>
          <t xml:space="preserve">
calibrting to 0.00782379038320598</t>
        </r>
      </text>
    </comment>
    <comment ref="A46" authorId="1" shapeId="0" xr:uid="{4A8FFD59-B95C-440E-85E4-D5C44BBD4DF9}">
      <text>
        <r>
          <rPr>
            <sz val="8"/>
            <color indexed="81"/>
            <rFont val="Tahoma"/>
            <family val="2"/>
          </rPr>
          <t>Cases: to be used for calibration</t>
        </r>
      </text>
    </comment>
    <comment ref="A49" authorId="1" shapeId="0" xr:uid="{9C358D50-6033-4174-AF7F-43221A0553AF}">
      <text>
        <r>
          <rPr>
            <sz val="8"/>
            <color indexed="81"/>
            <rFont val="Tahoma"/>
            <family val="2"/>
          </rPr>
          <t>Deaths: to be used for calibration</t>
        </r>
      </text>
    </comment>
    <comment ref="A52" authorId="1" shapeId="0" xr:uid="{5C0E0747-D1BB-4631-B788-A834C313D183}">
      <text>
        <r>
          <rPr>
            <sz val="8"/>
            <color indexed="81"/>
            <rFont val="Tahoma"/>
            <family val="2"/>
          </rPr>
          <t>Stillbirths: to be used for calibration</t>
        </r>
      </text>
    </comment>
    <comment ref="A56" authorId="1" shapeId="0" xr:uid="{3E9F6E0D-87C3-4A67-BC89-1F196F11388C}">
      <text>
        <r>
          <rPr>
            <sz val="8"/>
            <color indexed="81"/>
            <rFont val="Tahoma"/>
            <family val="2"/>
          </rPr>
          <t>To be stitched in</t>
        </r>
      </text>
    </comment>
    <comment ref="A59" authorId="1" shapeId="0" xr:uid="{D491C3A9-6633-467C-AD82-88E763FAC851}">
      <text>
        <r>
          <rPr>
            <sz val="8"/>
            <color indexed="81"/>
            <rFont val="Tahoma"/>
            <family val="2"/>
          </rPr>
          <t>To be stitched 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6" authorId="0" shapeId="0" xr:uid="{00000000-0006-0000-0400-000001000000}">
      <text>
        <r>
          <rPr>
            <sz val="8"/>
            <color indexed="81"/>
            <rFont val="Tahoma"/>
            <family val="2"/>
          </rPr>
          <t>Calibrate based on identifiable and ultrasound</t>
        </r>
      </text>
    </comment>
    <comment ref="A25" authorId="0" shapeId="0" xr:uid="{00000000-0006-0000-0400-000004000000}">
      <text>
        <r>
          <rPr>
            <sz val="8"/>
            <color indexed="81"/>
            <rFont val="Tahoma"/>
            <family val="2"/>
          </rPr>
          <t>IHME</t>
        </r>
      </text>
    </comment>
    <comment ref="A28" authorId="0" shapeId="0" xr:uid="{00000000-0006-0000-0400-000005000000}">
      <text>
        <r>
          <rPr>
            <sz val="8"/>
            <color indexed="81"/>
            <rFont val="Tahoma"/>
            <family val="2"/>
          </rPr>
          <t>Assumed double at RF</t>
        </r>
      </text>
    </comment>
    <comment ref="A31" authorId="0" shapeId="0" xr:uid="{00000000-0006-0000-0400-000006000000}">
      <text>
        <r>
          <rPr>
            <sz val="8"/>
            <color indexed="81"/>
            <rFont val="Tahoma"/>
            <family val="2"/>
          </rPr>
          <t>IHME</t>
        </r>
      </text>
    </comment>
    <comment ref="A34" authorId="0" shapeId="0" xr:uid="{00000000-0006-0000-0400-000007000000}">
      <text>
        <r>
          <rPr>
            <sz val="8"/>
            <color indexed="81"/>
            <rFont val="Tahoma"/>
            <family val="2"/>
          </rPr>
          <t>IHME</t>
        </r>
      </text>
    </comment>
    <comment ref="A37" authorId="0" shapeId="0" xr:uid="{995F645A-BAC1-4E3F-AF54-F17053E27298}">
      <text>
        <r>
          <rPr>
            <sz val="8"/>
            <color indexed="81"/>
            <rFont val="Tahoma"/>
            <family val="2"/>
          </rPr>
          <t>Cases: to be calibrated</t>
        </r>
      </text>
    </comment>
    <comment ref="A40" authorId="0" shapeId="0" xr:uid="{243FDF73-9D60-44A7-B19C-261931C65287}">
      <text>
        <r>
          <rPr>
            <sz val="8"/>
            <color indexed="81"/>
            <rFont val="Tahoma"/>
            <family val="2"/>
          </rPr>
          <t>Deaths: to be calibrated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3" authorId="0" shapeId="0" xr:uid="{CD2EC612-0C2E-443C-8827-DFA67FA95401}">
      <text>
        <r>
          <rPr>
            <sz val="8"/>
            <color indexed="81"/>
            <rFont val="Tahoma"/>
            <family val="2"/>
          </rPr>
          <t>ARC PRiSMA</t>
        </r>
      </text>
    </comment>
    <comment ref="A16" authorId="0" shapeId="0" xr:uid="{00000000-0006-0000-0300-000003000000}">
      <text>
        <r>
          <rPr>
            <sz val="8"/>
            <color indexed="81"/>
            <rFont val="Tahoma"/>
            <family val="2"/>
          </rPr>
          <t>ARC PRiSMA</t>
        </r>
      </text>
    </comment>
    <comment ref="A19" authorId="0" shapeId="0" xr:uid="{00000000-0006-0000-0300-000004000000}">
      <text>
        <r>
          <rPr>
            <sz val="8"/>
            <color indexed="81"/>
            <rFont val="Tahoma"/>
            <family val="2"/>
          </rPr>
          <t>ARC PRiSMA</t>
        </r>
      </text>
    </comment>
    <comment ref="A22" authorId="0" shapeId="0" xr:uid="{00000000-0006-0000-0300-000005000000}">
      <text>
        <r>
          <rPr>
            <sz val="8"/>
            <color indexed="81"/>
            <rFont val="Tahoma"/>
            <family val="2"/>
          </rPr>
          <t>Targeted by blood test programs - establish baseline</t>
        </r>
      </text>
    </comment>
    <comment ref="A25" authorId="0" shapeId="0" xr:uid="{00000000-0006-0000-0300-000006000000}">
      <text>
        <r>
          <rPr>
            <sz val="8"/>
            <color indexed="81"/>
            <rFont val="Tahoma"/>
            <family val="2"/>
          </rPr>
          <t>Targeted by SOC iron tablets</t>
        </r>
      </text>
    </comment>
    <comment ref="A28" authorId="0" shapeId="0" xr:uid="{00000000-0006-0000-0300-000007000000}">
      <text>
        <r>
          <rPr>
            <sz val="8"/>
            <color indexed="81"/>
            <rFont val="Tahoma"/>
            <family val="2"/>
          </rPr>
          <t>Targeted by SOC iron tablets</t>
        </r>
      </text>
    </comment>
    <comment ref="A31" authorId="0" shapeId="0" xr:uid="{00000000-0006-0000-0300-000008000000}">
      <text>
        <r>
          <rPr>
            <sz val="8"/>
            <color indexed="81"/>
            <rFont val="Tahoma"/>
            <family val="2"/>
          </rPr>
          <t>Targeted by SOC iron tablets; need data point</t>
        </r>
      </text>
    </comment>
    <comment ref="A34" authorId="0" shapeId="0" xr:uid="{00000000-0006-0000-0300-000009000000}">
      <text>
        <r>
          <rPr>
            <sz val="8"/>
            <color indexed="81"/>
            <rFont val="Tahoma"/>
            <family val="2"/>
          </rPr>
          <t>Targeted by SOC iron tablets and IV iron</t>
        </r>
      </text>
    </comment>
    <comment ref="A37" authorId="0" shapeId="0" xr:uid="{00000000-0006-0000-0300-00000A000000}">
      <text>
        <r>
          <rPr>
            <sz val="8"/>
            <color indexed="81"/>
            <rFont val="Tahoma"/>
            <family val="2"/>
          </rPr>
          <t>Targeted by SOC iron tablets and IV iron</t>
        </r>
      </text>
    </comment>
    <comment ref="A40" authorId="0" shapeId="0" xr:uid="{00000000-0006-0000-0300-00000B000000}">
      <text>
        <r>
          <rPr>
            <sz val="8"/>
            <color indexed="81"/>
            <rFont val="Tahoma"/>
            <family val="2"/>
          </rPr>
          <t>Targeted by SOC iron tablets and IV iron; need data point</t>
        </r>
      </text>
    </comment>
    <comment ref="A43" authorId="0" shapeId="0" xr:uid="{00000000-0006-0000-0300-00000C000000}">
      <text>
        <r>
          <rPr>
            <sz val="8"/>
            <color indexed="81"/>
            <rFont val="Tahoma"/>
            <family val="2"/>
          </rPr>
          <t>Check whether this is required</t>
        </r>
      </text>
    </comment>
    <comment ref="A46" authorId="0" shapeId="0" xr:uid="{00000000-0006-0000-0300-00000D000000}">
      <text>
        <r>
          <rPr>
            <sz val="8"/>
            <color indexed="81"/>
            <rFont val="Tahoma"/>
            <family val="2"/>
          </rPr>
          <t>Targeted by SOC iron tablets and IV iron</t>
        </r>
      </text>
    </comment>
    <comment ref="A49" authorId="0" shapeId="0" xr:uid="{00000000-0006-0000-0300-00000E000000}">
      <text>
        <r>
          <rPr>
            <sz val="8"/>
            <color indexed="81"/>
            <rFont val="Tahoma"/>
            <family val="2"/>
          </rPr>
          <t>Targeted by SOC iron tablets and IV iron</t>
        </r>
      </text>
    </comment>
    <comment ref="A52" authorId="0" shapeId="0" xr:uid="{265837D6-7553-4930-8D51-2A13AAB9B158}">
      <text>
        <r>
          <rPr>
            <sz val="8"/>
            <color indexed="81"/>
            <rFont val="Tahoma"/>
            <family val="2"/>
          </rPr>
          <t>Need data point</t>
        </r>
      </text>
    </comment>
    <comment ref="A55" authorId="0" shapeId="0" xr:uid="{1196FE3C-AF79-40D0-A2B0-BF2B20F547D8}">
      <text>
        <r>
          <rPr>
            <sz val="8"/>
            <color indexed="81"/>
            <rFont val="Tahoma"/>
            <family val="2"/>
          </rPr>
          <t>GBD 2016</t>
        </r>
      </text>
    </comment>
    <comment ref="A58" authorId="0" shapeId="0" xr:uid="{36BF7A90-0C16-49A2-BF46-3B47C3CF029E}">
      <text>
        <r>
          <rPr>
            <sz val="8"/>
            <color indexed="81"/>
            <rFont val="Tahoma"/>
            <family val="2"/>
          </rPr>
          <t>GBD 2016</t>
        </r>
      </text>
    </comment>
    <comment ref="E59" authorId="1" shapeId="0" xr:uid="{3AF6402D-8644-4287-9F9A-C99A785EB18E}">
      <text>
        <r>
          <rPr>
            <b/>
            <sz val="9"/>
            <color indexed="81"/>
            <rFont val="Tahoma"/>
            <family val="2"/>
          </rPr>
          <t>Tom Walsh:</t>
        </r>
        <r>
          <rPr>
            <sz val="9"/>
            <color indexed="81"/>
            <rFont val="Tahoma"/>
            <family val="2"/>
          </rPr>
          <t xml:space="preserve">
Severe iron-deficiency anemia row 531</t>
        </r>
      </text>
    </comment>
    <comment ref="A61" authorId="0" shapeId="0" xr:uid="{00000000-0006-0000-0300-000012000000}">
      <text>
        <r>
          <rPr>
            <sz val="8"/>
            <color indexed="81"/>
            <rFont val="Tahoma"/>
            <family val="2"/>
          </rPr>
          <t>To be used for calibration anemia incidence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16B6C1E9-0672-431D-874C-0A4D0187A1BB}">
      <text>
        <r>
          <rPr>
            <sz val="8"/>
            <color indexed="81"/>
            <rFont val="Tahoma"/>
            <family val="2"/>
          </rPr>
          <t>To be calibrated</t>
        </r>
      </text>
    </comment>
    <comment ref="A22" authorId="0" shapeId="0" xr:uid="{E621F3CC-C1CC-4F1D-9D0E-BF9F574BE6DB}">
      <text>
        <r>
          <rPr>
            <sz val="8"/>
            <color indexed="81"/>
            <rFont val="Tahoma"/>
            <family val="2"/>
          </rPr>
          <t>To be calibrated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700-000002000000}">
      <text>
        <r>
          <rPr>
            <sz val="8"/>
            <color indexed="81"/>
            <rFont val="Tahoma"/>
            <family val="2"/>
          </rPr>
          <t>Source: GBD cause 370/LABOR study</t>
        </r>
      </text>
    </comment>
    <comment ref="E2" authorId="1" shapeId="0" xr:uid="{276E2063-9ECD-4A16-957D-F694DB54C287}">
      <text>
        <r>
          <rPr>
            <b/>
            <sz val="9"/>
            <color indexed="81"/>
            <rFont val="Tahoma"/>
            <family val="2"/>
          </rPr>
          <t>Tom Walsh:</t>
        </r>
        <r>
          <rPr>
            <sz val="9"/>
            <color indexed="81"/>
            <rFont val="Tahoma"/>
            <family val="2"/>
          </rPr>
          <t xml:space="preserve">
calibrated to IHME data</t>
        </r>
      </text>
    </comment>
    <comment ref="A4" authorId="0" shapeId="0" xr:uid="{00000000-0006-0000-0700-000003000000}">
      <text>
        <r>
          <rPr>
            <sz val="8"/>
            <color indexed="81"/>
            <rFont val="Tahoma"/>
            <family val="2"/>
          </rPr>
          <t>Need data point - assume 100%</t>
        </r>
      </text>
    </comment>
    <comment ref="A7" authorId="0" shapeId="0" xr:uid="{00000000-0006-0000-0700-000004000000}">
      <text>
        <r>
          <rPr>
            <sz val="8"/>
            <color indexed="81"/>
            <rFont val="Tahoma"/>
            <family val="2"/>
          </rPr>
          <t>Calculated based on US and identified</t>
        </r>
      </text>
    </comment>
    <comment ref="A10" authorId="0" shapeId="0" xr:uid="{00000000-0006-0000-0700-000005000000}">
      <text>
        <r>
          <rPr>
            <sz val="8"/>
            <color indexed="81"/>
            <rFont val="Tahoma"/>
            <family val="2"/>
          </rPr>
          <t>Used for calibration</t>
        </r>
      </text>
    </comment>
    <comment ref="A13" authorId="0" shapeId="0" xr:uid="{00000000-0006-0000-0700-000006000000}">
      <text>
        <r>
          <rPr>
            <sz val="8"/>
            <color indexed="81"/>
            <rFont val="Tahoma"/>
            <family val="2"/>
          </rPr>
          <t>IHME</t>
        </r>
      </text>
    </comment>
    <comment ref="A16" authorId="0" shapeId="0" xr:uid="{00000000-0006-0000-0700-000007000000}">
      <text>
        <r>
          <rPr>
            <sz val="8"/>
            <color indexed="81"/>
            <rFont val="Tahoma"/>
            <family val="2"/>
          </rPr>
          <t>Double that at a referral facility</t>
        </r>
      </text>
    </comment>
    <comment ref="A31" authorId="0" shapeId="0" xr:uid="{8B67BAC9-8B32-4227-BC9A-DDCBC9D8E03C}">
      <text>
        <r>
          <rPr>
            <sz val="8"/>
            <color indexed="81"/>
            <rFont val="Tahoma"/>
            <family val="2"/>
          </rPr>
          <t>Cases: to be calibrated</t>
        </r>
      </text>
    </comment>
    <comment ref="A34" authorId="0" shapeId="0" xr:uid="{D8D8E5E0-E4FC-4CA8-975B-FB2E4801AE07}">
      <text>
        <r>
          <rPr>
            <sz val="8"/>
            <color indexed="81"/>
            <rFont val="Tahoma"/>
            <family val="2"/>
          </rPr>
          <t>Deaths: to be calibrated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2000000}">
      <text>
        <r>
          <rPr>
            <sz val="8"/>
            <color indexed="81"/>
            <rFont val="Tahoma"/>
            <family val="2"/>
          </rPr>
          <t>IHME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900-000001000000}">
      <text>
        <r>
          <rPr>
            <sz val="8"/>
            <color indexed="81"/>
            <rFont val="Tahoma"/>
            <family val="2"/>
          </rPr>
          <t>To be stitched in</t>
        </r>
      </text>
    </comment>
    <comment ref="E11" authorId="1" shapeId="0" xr:uid="{366FFC82-CA75-4832-9EC7-C871868CD001}">
      <text>
        <r>
          <rPr>
            <b/>
            <sz val="9"/>
            <color indexed="81"/>
            <rFont val="Tahoma"/>
            <family val="2"/>
          </rPr>
          <t>Tom Walsh:</t>
        </r>
        <r>
          <rPr>
            <sz val="9"/>
            <color indexed="81"/>
            <rFont val="Tahoma"/>
            <family val="2"/>
          </rPr>
          <t xml:space="preserve">
calibrating to 0.0250071741782908</t>
        </r>
      </text>
    </comment>
    <comment ref="A22" authorId="0" shapeId="0" xr:uid="{BAF29B67-51E5-43A9-BF51-D3520F2539CA}">
      <text>
        <r>
          <rPr>
            <sz val="8"/>
            <color indexed="81"/>
            <rFont val="Tahoma"/>
            <family val="2"/>
          </rPr>
          <t>Cases: to be calibrated</t>
        </r>
      </text>
    </comment>
    <comment ref="A25" authorId="0" shapeId="0" xr:uid="{B7BC65E8-D3F7-4812-A6E7-1B41A1BB2A5E}">
      <text>
        <r>
          <rPr>
            <sz val="8"/>
            <color indexed="81"/>
            <rFont val="Tahoma"/>
            <family val="2"/>
          </rPr>
          <t>Deaths: to be calibrated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2" authorId="0" shapeId="0" xr:uid="{8AA0066C-EDD9-404A-9306-1957E38BC391}">
      <text>
        <r>
          <rPr>
            <b/>
            <sz val="9"/>
            <color indexed="81"/>
            <rFont val="Tahoma"/>
            <family val="2"/>
          </rPr>
          <t>Tom Walsh:</t>
        </r>
        <r>
          <rPr>
            <sz val="9"/>
            <color indexed="81"/>
            <rFont val="Tahoma"/>
            <family val="2"/>
          </rPr>
          <t xml:space="preserve">
</t>
        </r>
      </text>
    </comment>
    <comment ref="E11" authorId="0" shapeId="0" xr:uid="{2C0C816B-1DCF-4243-B36C-6D1ADDDC3E23}">
      <text>
        <r>
          <rPr>
            <b/>
            <sz val="9"/>
            <color indexed="81"/>
            <rFont val="Tahoma"/>
            <family val="2"/>
          </rPr>
          <t>Tom Walsh:</t>
        </r>
        <r>
          <rPr>
            <sz val="9"/>
            <color indexed="81"/>
            <rFont val="Tahoma"/>
            <family val="2"/>
          </rPr>
          <t xml:space="preserve">
</t>
        </r>
      </text>
    </comment>
    <comment ref="E14" authorId="0" shapeId="0" xr:uid="{7930E99F-8070-4D54-A74F-326F7381615E}">
      <text>
        <r>
          <rPr>
            <b/>
            <sz val="9"/>
            <color indexed="81"/>
            <rFont val="Tahoma"/>
            <family val="2"/>
          </rPr>
          <t>Tom Walsh:</t>
        </r>
        <r>
          <rPr>
            <sz val="9"/>
            <color indexed="81"/>
            <rFont val="Tahoma"/>
            <family val="2"/>
          </rPr>
          <t xml:space="preserve">
calibrating to 0.22</t>
        </r>
      </text>
    </comment>
    <comment ref="E17" authorId="0" shapeId="0" xr:uid="{4C026139-E36A-4118-B2A0-0A040B69FF23}">
      <text>
        <r>
          <rPr>
            <b/>
            <sz val="9"/>
            <color indexed="81"/>
            <rFont val="Tahoma"/>
            <family val="2"/>
          </rPr>
          <t>Tom Walsh:</t>
        </r>
        <r>
          <rPr>
            <sz val="9"/>
            <color indexed="81"/>
            <rFont val="Tahoma"/>
            <family val="2"/>
          </rPr>
          <t xml:space="preserve">
calibrating to 0.22</t>
        </r>
      </text>
    </comment>
    <comment ref="A19" authorId="1" shapeId="0" xr:uid="{AA842A95-F355-4D5B-914B-2F0398EE421F}">
      <text>
        <r>
          <rPr>
            <sz val="8"/>
            <color indexed="81"/>
            <rFont val="Tahoma"/>
            <family val="2"/>
          </rPr>
          <t>Need data value</t>
        </r>
      </text>
    </comment>
    <comment ref="A22" authorId="1" shapeId="0" xr:uid="{00000000-0006-0000-0A00-000001000000}">
      <text>
        <r>
          <rPr>
            <sz val="8"/>
            <color indexed="81"/>
            <rFont val="Tahoma"/>
            <family val="2"/>
          </rPr>
          <t>Need data value</t>
        </r>
      </text>
    </comment>
    <comment ref="A25" authorId="1" shapeId="0" xr:uid="{00000000-0006-0000-0A00-000002000000}">
      <text>
        <r>
          <rPr>
            <sz val="8"/>
            <color indexed="81"/>
            <rFont val="Tahoma"/>
            <family val="2"/>
          </rPr>
          <t>Need data value</t>
        </r>
      </text>
    </comment>
    <comment ref="A28" authorId="1" shapeId="0" xr:uid="{8E38D92D-FA7A-40E0-88A6-C5811FB97152}">
      <text>
        <r>
          <rPr>
            <sz val="8"/>
            <color indexed="81"/>
            <rFont val="Tahoma"/>
            <family val="2"/>
          </rPr>
          <t>https://obgyn.onlinelibrary.wiley.com/doi/epdf/10.1111/1471-0528.12629</t>
        </r>
      </text>
    </comment>
    <comment ref="A31" authorId="1" shapeId="0" xr:uid="{EDF25A88-8AA2-48F9-95E4-BE4B825CE758}">
      <text>
        <r>
          <rPr>
            <sz val="8"/>
            <color indexed="81"/>
            <rFont val="Tahoma"/>
            <family val="2"/>
          </rPr>
          <t>https://www.tandfonline.com/doi/full/10.1080/14767058.2016.1263295</t>
        </r>
      </text>
    </comment>
    <comment ref="E44" authorId="0" shapeId="0" xr:uid="{B50C1BE0-5334-4F2A-9260-9C0703DF1E2E}">
      <text>
        <r>
          <rPr>
            <b/>
            <sz val="9"/>
            <color indexed="81"/>
            <rFont val="Tahoma"/>
            <family val="2"/>
          </rPr>
          <t>Tom Walsh:</t>
        </r>
        <r>
          <rPr>
            <sz val="9"/>
            <color indexed="81"/>
            <rFont val="Tahoma"/>
            <family val="2"/>
          </rPr>
          <t xml:space="preserve">
</t>
        </r>
      </text>
    </comment>
    <comment ref="A46" authorId="1" shapeId="0" xr:uid="{00000000-0006-0000-0A00-000003000000}">
      <text>
        <r>
          <rPr>
            <sz val="8"/>
            <color indexed="81"/>
            <rFont val="Tahoma"/>
            <family val="2"/>
          </rPr>
          <t>Need data point for calibration</t>
        </r>
      </text>
    </comment>
    <comment ref="E47" authorId="0" shapeId="0" xr:uid="{786763D6-0E1E-4169-8BD3-0C86216D93D5}">
      <text>
        <r>
          <rPr>
            <b/>
            <sz val="9"/>
            <color indexed="81"/>
            <rFont val="Tahoma"/>
            <family val="2"/>
          </rPr>
          <t>Tom Walsh:</t>
        </r>
        <r>
          <rPr>
            <sz val="9"/>
            <color indexed="81"/>
            <rFont val="Tahoma"/>
            <family val="2"/>
          </rPr>
          <t xml:space="preserve">
calibrating to 0.22</t>
        </r>
      </text>
    </comment>
    <comment ref="A85" authorId="1" shapeId="0" xr:uid="{4CFD6142-71B0-4FFB-90CE-1DD4222891ED}">
      <text>
        <r>
          <rPr>
            <sz val="8"/>
            <color indexed="81"/>
            <rFont val="Tahoma"/>
            <family val="2"/>
          </rPr>
          <t>To be used in calibration</t>
        </r>
      </text>
    </comment>
    <comment ref="A88" authorId="1" shapeId="0" xr:uid="{3721720A-E97C-4E0F-9050-28544F4C126E}">
      <text>
        <r>
          <rPr>
            <sz val="8"/>
            <color indexed="81"/>
            <rFont val="Tahoma"/>
            <family val="2"/>
          </rPr>
          <t>To be used in calibration</t>
        </r>
      </text>
    </comment>
    <comment ref="A91" authorId="1" shapeId="0" xr:uid="{3572DC1E-C5BB-4756-BDF4-44D4B48ABBCB}">
      <text>
        <r>
          <rPr>
            <sz val="8"/>
            <color indexed="81"/>
            <rFont val="Tahoma"/>
            <family val="2"/>
          </rPr>
          <t>IHME</t>
        </r>
      </text>
    </comment>
    <comment ref="A94" authorId="1" shapeId="0" xr:uid="{08345AB8-75DE-4DFE-AA30-0856133798E3}">
      <text>
        <r>
          <rPr>
            <sz val="8"/>
            <color indexed="81"/>
            <rFont val="Tahoma"/>
            <family val="2"/>
          </rPr>
          <t>IHME</t>
        </r>
      </text>
    </comment>
    <comment ref="A97" authorId="1" shapeId="0" xr:uid="{932CA718-B270-4982-8184-D3492AD9B22F}">
      <text>
        <r>
          <rPr>
            <sz val="8"/>
            <color indexed="81"/>
            <rFont val="Tahoma"/>
            <family val="2"/>
          </rPr>
          <t>IHME</t>
        </r>
      </text>
    </comment>
    <comment ref="A100" authorId="1" shapeId="0" xr:uid="{5A2B558C-2573-4485-890D-4655CED7951C}">
      <text>
        <r>
          <rPr>
            <sz val="8"/>
            <color indexed="81"/>
            <rFont val="Tahoma"/>
            <family val="2"/>
          </rPr>
          <t>To be calibrated</t>
        </r>
      </text>
    </comment>
    <comment ref="A103" authorId="1" shapeId="0" xr:uid="{0DFED568-06B4-43FD-B754-A43957B379C6}">
      <text>
        <r>
          <rPr>
            <sz val="8"/>
            <color indexed="81"/>
            <rFont val="Tahoma"/>
            <family val="2"/>
          </rPr>
          <t>To be stitched in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8"/>
            <color indexed="81"/>
            <rFont val="Tahoma"/>
            <family val="2"/>
          </rPr>
          <t>MNCH D&amp;T analysis leveraging literature, SME input, and AMANHI data</t>
        </r>
      </text>
    </comment>
    <comment ref="A10" authorId="0" shapeId="0" xr:uid="{00000000-0006-0000-0B00-000002000000}">
      <text>
        <r>
          <rPr>
            <sz val="8"/>
            <color indexed="81"/>
            <rFont val="Tahoma"/>
            <family val="2"/>
          </rPr>
          <t>Need data point for calibration</t>
        </r>
      </text>
    </comment>
    <comment ref="A13" authorId="0" shapeId="0" xr:uid="{00000000-0006-0000-0B00-000003000000}">
      <text>
        <r>
          <rPr>
            <sz val="8"/>
            <color indexed="81"/>
            <rFont val="Tahoma"/>
            <family val="2"/>
          </rPr>
          <t>Need data point for calibration</t>
        </r>
      </text>
    </comment>
    <comment ref="A19" authorId="0" shapeId="0" xr:uid="{00000000-0006-0000-0B00-000004000000}">
      <text>
        <r>
          <rPr>
            <sz val="8"/>
            <color indexed="81"/>
            <rFont val="Tahoma"/>
            <family val="2"/>
          </rPr>
          <t>MNCH D&amp;T analysis leveraging literature, SME input, and AMANHI data.  Case fatality rates vary by location</t>
        </r>
      </text>
    </comment>
    <comment ref="A22" authorId="0" shapeId="0" xr:uid="{00000000-0006-0000-0B00-000005000000}">
      <text>
        <r>
          <rPr>
            <sz val="8"/>
            <color indexed="81"/>
            <rFont val="Tahoma"/>
            <family val="2"/>
          </rPr>
          <t>MNCH D&amp;T analysis leveraging literature, SME input, and AMANHI data.  Case fatality rates vary by location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C00-000001000000}">
      <text>
        <r>
          <rPr>
            <sz val="8"/>
            <color indexed="81"/>
            <rFont val="Tahoma"/>
            <family val="2"/>
          </rPr>
          <t>To be calibrated</t>
        </r>
      </text>
    </comment>
    <comment ref="A4" authorId="0" shapeId="0" xr:uid="{00000000-0006-0000-0C00-000002000000}">
      <text>
        <r>
          <rPr>
            <sz val="8"/>
            <color indexed="81"/>
            <rFont val="Tahoma"/>
            <family val="2"/>
          </rPr>
          <t>To be calibrated</t>
        </r>
      </text>
    </comment>
    <comment ref="A7" authorId="0" shapeId="0" xr:uid="{00000000-0006-0000-0C00-000003000000}">
      <text>
        <r>
          <rPr>
            <sz val="8"/>
            <color indexed="81"/>
            <rFont val="Tahoma"/>
            <family val="2"/>
          </rPr>
          <t>To be calibrated</t>
        </r>
      </text>
    </comment>
    <comment ref="A10" authorId="0" shapeId="0" xr:uid="{00000000-0006-0000-0C00-000004000000}">
      <text>
        <r>
          <rPr>
            <sz val="8"/>
            <color indexed="81"/>
            <rFont val="Tahoma"/>
            <family val="2"/>
          </rPr>
          <t>To be calibrated</t>
        </r>
      </text>
    </comment>
    <comment ref="A52" authorId="0" shapeId="0" xr:uid="{00000000-0006-0000-0C00-000005000000}">
      <text>
        <r>
          <rPr>
            <sz val="8"/>
            <color indexed="81"/>
            <rFont val="Tahoma"/>
            <family val="2"/>
          </rPr>
          <t>To be included in further downstream impacts</t>
        </r>
      </text>
    </comment>
    <comment ref="E56" authorId="1" shapeId="0" xr:uid="{AD06A357-0E33-499D-9453-1A8B0CC09A45}">
      <text>
        <r>
          <rPr>
            <b/>
            <sz val="9"/>
            <color indexed="81"/>
            <rFont val="Tahoma"/>
            <family val="2"/>
          </rPr>
          <t>Tom Walsh:</t>
        </r>
        <r>
          <rPr>
            <sz val="9"/>
            <color indexed="81"/>
            <rFont val="Tahoma"/>
            <family val="2"/>
          </rPr>
          <t xml:space="preserve">
33%</t>
        </r>
      </text>
    </comment>
    <comment ref="A64" authorId="0" shapeId="0" xr:uid="{00000000-0006-0000-0C00-000008000000}">
      <text>
        <r>
          <rPr>
            <sz val="8"/>
            <color indexed="81"/>
            <rFont val="Tahoma"/>
            <family val="2"/>
          </rPr>
          <t>To be calibrated</t>
        </r>
      </text>
    </comment>
    <comment ref="A67" authorId="0" shapeId="0" xr:uid="{00000000-0006-0000-0C00-000009000000}">
      <text>
        <r>
          <rPr>
            <sz val="8"/>
            <color indexed="81"/>
            <rFont val="Tahoma"/>
            <family val="2"/>
          </rPr>
          <t>To be calibrated</t>
        </r>
      </text>
    </comment>
    <comment ref="A70" authorId="0" shapeId="0" xr:uid="{00000000-0006-0000-0C00-00000A000000}">
      <text>
        <r>
          <rPr>
            <sz val="8"/>
            <color indexed="81"/>
            <rFont val="Tahoma"/>
            <family val="2"/>
          </rPr>
          <t>CHAIN</t>
        </r>
      </text>
    </comment>
    <comment ref="A73" authorId="0" shapeId="0" xr:uid="{00000000-0006-0000-0C00-00000B000000}">
      <text>
        <r>
          <rPr>
            <sz val="8"/>
            <color indexed="81"/>
            <rFont val="Tahoma"/>
            <family val="2"/>
          </rPr>
          <t>CHAIN</t>
        </r>
      </text>
    </comment>
    <comment ref="A76" authorId="0" shapeId="0" xr:uid="{00000000-0006-0000-0C00-00000C000000}">
      <text>
        <r>
          <rPr>
            <sz val="8"/>
            <color indexed="81"/>
            <rFont val="Tahoma"/>
            <family val="2"/>
          </rPr>
          <t>Cross-triangulation from Ki wasting rally and assumptions from the lit</t>
        </r>
      </text>
    </comment>
    <comment ref="A79" authorId="0" shapeId="0" xr:uid="{00000000-0006-0000-0C00-00000D000000}">
      <text>
        <r>
          <rPr>
            <sz val="8"/>
            <color indexed="81"/>
            <rFont val="Tahoma"/>
            <family val="2"/>
          </rPr>
          <t>Cross-triangulation from Ki wasting rally and assumptions from the lit</t>
        </r>
      </text>
    </comment>
    <comment ref="A82" authorId="0" shapeId="0" xr:uid="{00000000-0006-0000-0C00-000010000000}">
      <text>
        <r>
          <rPr>
            <sz val="8"/>
            <color indexed="81"/>
            <rFont val="Tahoma"/>
            <family val="2"/>
          </rPr>
          <t>To be calibrated</t>
        </r>
      </text>
    </comment>
    <comment ref="A85" authorId="0" shapeId="0" xr:uid="{00000000-0006-0000-0C00-000011000000}">
      <text>
        <r>
          <rPr>
            <sz val="8"/>
            <color indexed="81"/>
            <rFont val="Tahoma"/>
            <family val="2"/>
          </rPr>
          <t>To be calibrated</t>
        </r>
      </text>
    </comment>
    <comment ref="A88" authorId="0" shapeId="0" xr:uid="{00000000-0006-0000-0C00-000012000000}">
      <text>
        <r>
          <rPr>
            <sz val="8"/>
            <color indexed="81"/>
            <rFont val="Tahoma"/>
            <family val="2"/>
          </rPr>
          <t>CHAIN</t>
        </r>
      </text>
    </comment>
    <comment ref="A91" authorId="0" shapeId="0" xr:uid="{00000000-0006-0000-0C00-000013000000}">
      <text>
        <r>
          <rPr>
            <sz val="8"/>
            <color indexed="81"/>
            <rFont val="Tahoma"/>
            <family val="2"/>
          </rPr>
          <t>CHAIN</t>
        </r>
      </text>
    </comment>
    <comment ref="A94" authorId="0" shapeId="0" xr:uid="{00000000-0006-0000-0C00-000014000000}">
      <text>
        <r>
          <rPr>
            <sz val="8"/>
            <color indexed="81"/>
            <rFont val="Tahoma"/>
            <family val="2"/>
          </rPr>
          <t>Cross-triangulation from Ki wasting rally and assumptions from the lit</t>
        </r>
      </text>
    </comment>
    <comment ref="A97" authorId="0" shapeId="0" xr:uid="{00000000-0006-0000-0C00-000015000000}">
      <text>
        <r>
          <rPr>
            <sz val="8"/>
            <color indexed="81"/>
            <rFont val="Tahoma"/>
            <family val="2"/>
          </rPr>
          <t>Cross-triangulation from Ki wasting rally and assumptions from the lit</t>
        </r>
      </text>
    </comment>
    <comment ref="A109" authorId="0" shapeId="0" xr:uid="{3E0D3FB1-BA23-4A75-BA99-1F066F3EDAA5}">
      <text>
        <r>
          <rPr>
            <sz val="8"/>
            <color indexed="81"/>
            <rFont val="Tahoma"/>
            <family val="2"/>
          </rPr>
          <t>To be stitched in</t>
        </r>
      </text>
    </comment>
    <comment ref="A112" authorId="0" shapeId="0" xr:uid="{AEB29CF3-3C36-48F9-B3F4-D0018F0D0609}">
      <text>
        <r>
          <rPr>
            <sz val="8"/>
            <color indexed="81"/>
            <rFont val="Tahoma"/>
            <family val="2"/>
          </rPr>
          <t>To be stitched in</t>
        </r>
      </text>
    </comment>
    <comment ref="A115" authorId="0" shapeId="0" xr:uid="{D367EDA3-0BBE-4377-AB44-154396DE2DC2}">
      <text>
        <r>
          <rPr>
            <sz val="8"/>
            <color indexed="81"/>
            <rFont val="Tahoma"/>
            <family val="2"/>
          </rPr>
          <t>To be stitched in</t>
        </r>
      </text>
    </comment>
    <comment ref="A118" authorId="0" shapeId="0" xr:uid="{43A0B924-983D-4A13-B555-071A2191ACA8}">
      <text>
        <r>
          <rPr>
            <sz val="8"/>
            <color indexed="81"/>
            <rFont val="Tahoma"/>
            <family val="2"/>
          </rPr>
          <t>To be stitched in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tc={587526CB-2652-4A91-9EF4-FA5F2D685563}</author>
  </authors>
  <commentList>
    <comment ref="A1" authorId="0" shapeId="0" xr:uid="{00000000-0006-0000-0D00-000002000000}">
      <text>
        <r>
          <rPr>
            <sz val="8"/>
            <color indexed="81"/>
            <rFont val="Tahoma"/>
            <family val="2"/>
          </rPr>
          <t>To be calibrated</t>
        </r>
      </text>
    </comment>
    <comment ref="B2" authorId="1" shapeId="0" xr:uid="{587526CB-2652-4A91-9EF4-FA5F2D685563}">
      <text>
        <t xml:space="preserve">[Threaded comment]
Your version of Excel allows you to read this threaded comment; however, any edits to it will get removed if the file is opened in a newer version of Excel. Learn more: https://go.microsoft.com/fwlink/?linkid=870924
Comment:
    2019 supplemented DHS data with GBD Covariate 1069
</t>
      </text>
    </comment>
    <comment ref="A4" authorId="0" shapeId="0" xr:uid="{00000000-0006-0000-0D00-000003000000}">
      <text>
        <r>
          <rPr>
            <sz val="8"/>
            <color indexed="81"/>
            <rFont val="Tahoma"/>
            <family val="2"/>
          </rPr>
          <t>Need data value</t>
        </r>
      </text>
    </comment>
    <comment ref="A7" authorId="0" shapeId="0" xr:uid="{9A43E5F8-CB64-42A8-92EB-45AA6D7B2D15}">
      <text>
        <r>
          <rPr>
            <sz val="8"/>
            <color indexed="81"/>
            <rFont val="Tahoma"/>
            <family val="2"/>
          </rPr>
          <t>Need data value</t>
        </r>
      </text>
    </comment>
    <comment ref="A10" authorId="0" shapeId="0" xr:uid="{170926A6-D956-499F-B320-CA41F5835050}">
      <text>
        <r>
          <rPr>
            <sz val="8"/>
            <color indexed="81"/>
            <rFont val="Tahoma"/>
            <family val="2"/>
          </rPr>
          <t>Need data value</t>
        </r>
      </text>
    </comment>
    <comment ref="A16" authorId="0" shapeId="0" xr:uid="{10CF26A0-9A14-4332-A141-4F0C654816F0}">
      <text>
        <r>
          <rPr>
            <sz val="8"/>
            <color indexed="81"/>
            <rFont val="Tahoma"/>
            <family val="2"/>
          </rPr>
          <t>To be stitched in</t>
        </r>
      </text>
    </comment>
    <comment ref="A19" authorId="0" shapeId="0" xr:uid="{93EFEE8C-75F2-460D-9D74-BBEF7412FA43}">
      <text>
        <r>
          <rPr>
            <sz val="8"/>
            <color indexed="81"/>
            <rFont val="Tahoma"/>
            <family val="2"/>
          </rPr>
          <t>To be stitched in</t>
        </r>
      </text>
    </comment>
    <comment ref="A22" authorId="0" shapeId="0" xr:uid="{6C9AFD7C-9B8C-46B4-9015-67E4BD8394AE}">
      <text>
        <r>
          <rPr>
            <sz val="8"/>
            <color indexed="81"/>
            <rFont val="Tahoma"/>
            <family val="2"/>
          </rPr>
          <t>To be stitched in</t>
        </r>
      </text>
    </comment>
    <comment ref="A25" authorId="0" shapeId="0" xr:uid="{F4865B79-EE21-4A6C-A14E-7AD1962644A2}">
      <text>
        <r>
          <rPr>
            <sz val="8"/>
            <color indexed="81"/>
            <rFont val="Tahoma"/>
            <family val="2"/>
          </rPr>
          <t>To be stitched in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tc={F7CD4FE7-E7B2-45D5-A884-D1A278E56E7A}</author>
  </authors>
  <commentList>
    <comment ref="A10" authorId="0" shapeId="0" xr:uid="{BB0C00A8-20D3-40DD-A1E3-E1EDF6D94F28}">
      <text>
        <r>
          <rPr>
            <sz val="8"/>
            <color indexed="81"/>
            <rFont val="Tahoma"/>
            <family val="2"/>
          </rPr>
          <t>Product effect size 0.2 (TPP assumption; Duley et al. 2019 Cochrane (18% reduction))</t>
        </r>
      </text>
    </comment>
    <comment ref="A40" authorId="1" shapeId="0" xr:uid="{F7CD4FE7-E7B2-45D5-A884-D1A278E56E7A}">
      <text>
        <t>[Threaded comment]
Your version of Excel allows you to read this threaded comment; however, any edits to it will get removed if the file is opened in a newer version of Excel. Learn more: https://go.microsoft.com/fwlink/?linkid=870924
Comment:
    Note: severe is linked to this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AC7078D1-860E-4819-9D6A-0EC4C8E9E4A4}">
      <text>
        <r>
          <rPr>
            <sz val="8"/>
            <color indexed="81"/>
            <rFont val="Tahoma"/>
            <family val="2"/>
          </rPr>
          <t>For product coverage to determine impact in other neonatal conditions and stillbirth</t>
        </r>
      </text>
    </comment>
  </commentList>
</comments>
</file>

<file path=xl/sharedStrings.xml><?xml version="1.0" encoding="utf-8"?>
<sst xmlns="http://schemas.openxmlformats.org/spreadsheetml/2006/main" count="3346" uniqueCount="371">
  <si>
    <t>Abbreviation</t>
  </si>
  <si>
    <t>Full Name</t>
  </si>
  <si>
    <t>Population type</t>
  </si>
  <si>
    <t>anc_hm</t>
  </si>
  <si>
    <t>Antenatal care: Humans</t>
  </si>
  <si>
    <t>asx_hm</t>
  </si>
  <si>
    <t>Asphyxia: Humans</t>
  </si>
  <si>
    <t>an_hm</t>
  </si>
  <si>
    <t>Anemia: Humans</t>
  </si>
  <si>
    <t>hm_hm</t>
  </si>
  <si>
    <t>Hemorrhage: Humans</t>
  </si>
  <si>
    <t>msep_hm</t>
  </si>
  <si>
    <t>Maternal sepsis: Humans</t>
  </si>
  <si>
    <t>ol_hm</t>
  </si>
  <si>
    <t>Obstructed labor: Humans</t>
  </si>
  <si>
    <t>oth_hm</t>
  </si>
  <si>
    <t>Other neonatal conditions: Humans</t>
  </si>
  <si>
    <t>nsep_hm</t>
  </si>
  <si>
    <t>Neonatal sepsis: Humans</t>
  </si>
  <si>
    <t>pt_hm</t>
  </si>
  <si>
    <t>Preterm: Humans</t>
  </si>
  <si>
    <t>rds_hm</t>
  </si>
  <si>
    <t>RDS: Humans</t>
  </si>
  <si>
    <t>wasting_hm</t>
  </si>
  <si>
    <t>Wasting: Humans</t>
  </si>
  <si>
    <t>stunting_hm</t>
  </si>
  <si>
    <t>Stunting: Humans</t>
  </si>
  <si>
    <t>Antenatal care: Number of pregnancies that occur annually</t>
  </si>
  <si>
    <t>Provenance</t>
  </si>
  <si>
    <t>Units</t>
  </si>
  <si>
    <t>Uncertainty</t>
  </si>
  <si>
    <t>Constant</t>
  </si>
  <si>
    <t>Framework-supplied default</t>
  </si>
  <si>
    <t>Number (per year)</t>
  </si>
  <si>
    <t>OR</t>
  </si>
  <si>
    <t>Proportion that receive antenatal care at any point during pregnancy</t>
  </si>
  <si>
    <t>Proportion</t>
  </si>
  <si>
    <t>Proportion receiving antenatal care in 1st trimester</t>
  </si>
  <si>
    <t>Proportion receiving antenatal care in 2nd trimester</t>
  </si>
  <si>
    <t>Proportion receiving antenatal care in 3rd trimester</t>
  </si>
  <si>
    <t>Antenatal care: Proportion of pregnancy loss for any reason 1st trimester</t>
  </si>
  <si>
    <t>Antenatal care: Proportion of pregnancy loss for any reason 2nd trimester</t>
  </si>
  <si>
    <t>Antenatal care: Proportion of pregnancy loss for any reason 3rd trimester</t>
  </si>
  <si>
    <t>Antenatal care: Proportion of pregnant women attending ANC who received an ultrasound by 3rd trimester</t>
  </si>
  <si>
    <t>Asphyxia: Relative risk of stillbirth from obstructed labor</t>
  </si>
  <si>
    <t>Asphyxia: Relative risk of stillbirth from maternal underweight</t>
  </si>
  <si>
    <t>Asphyxia: Relative risk of stillbirth from maternal sepsis</t>
  </si>
  <si>
    <t>Relative risk of birth asphyxia from Obstructed labour</t>
  </si>
  <si>
    <t>Efficacy of asphyxia treatment on mortality</t>
  </si>
  <si>
    <t>Efficacy of asphyxia treatment on morbidity</t>
  </si>
  <si>
    <t>Relative risk of bleeding related anemia from hemorrhage</t>
  </si>
  <si>
    <t>Proportion of pregnant women that will experience anemia (total)</t>
  </si>
  <si>
    <t>Proportion of anemia cases in pregnant women that will be moderate</t>
  </si>
  <si>
    <t>Proportion of anemia cases in pregnant women that will be severe</t>
  </si>
  <si>
    <t>Proportion of pregnant women attending ANC in whom anemia will be diagnosed</t>
  </si>
  <si>
    <t>Proportion of mild anemia cases that are treated 1st trimester</t>
  </si>
  <si>
    <t>Proportion of moderate anemia cases mitigated to mild anemia via treatment after 3 months 1st trimester</t>
  </si>
  <si>
    <t>Proportion of severe anemia cases that are mitigated to moderate anemia via treatment after 3 months 1st trimester</t>
  </si>
  <si>
    <t>Proportion of mild anemia cases that are treated 2nd trimester</t>
  </si>
  <si>
    <t>Proportion of moderate anemia cases mitigated to mild anemia via treatment after 3 months 2nd trimester</t>
  </si>
  <si>
    <t>Proportion of severe anemia cases that are mitigated to moderate anemia via treatment after 3 months 2nd trimester</t>
  </si>
  <si>
    <t>Proportion with bleeding related anemia in the absence of risk factors</t>
  </si>
  <si>
    <t>Proportion of treated moderate anemia mitigated to mild anemia after 3 months postpartum</t>
  </si>
  <si>
    <t>Proportion of treated severe anemia mitigated to moderate anemia after 3 months postpartum</t>
  </si>
  <si>
    <t>Number</t>
  </si>
  <si>
    <t>Relative reduction in mortality due to hemorrhage treatment</t>
  </si>
  <si>
    <t>Relative risk of hemorrhage from severe anemia</t>
  </si>
  <si>
    <t>Relative risk of hemorrhage from obstructed labour</t>
  </si>
  <si>
    <t>Proportion of childbirth in which hemorrhage will be imminent in the absence of risk factors</t>
  </si>
  <si>
    <t>Hemorrhage: Proportion of pregnant women with a risk factor identifiable through ultrasound</t>
  </si>
  <si>
    <t>Hemorrhage: Proportion of pregnant women with a risk factor identified through ultrasound</t>
  </si>
  <si>
    <t>Hemorrhage: Proportion accepting referral</t>
  </si>
  <si>
    <t>Proportion of childbirths with hemorrhage at a facility that result in maternal mortality in the absence of intervention</t>
  </si>
  <si>
    <t>Proportion of childbirths with hemorrhage at other locations that result in maternal mortality in the absence of intervention</t>
  </si>
  <si>
    <t>Maternal sepsis: Sepsis risk in the absence of intervention</t>
  </si>
  <si>
    <t>Maternal sepsis: Proportion of cases of sepsis that result in late mortality</t>
  </si>
  <si>
    <t>Maternal sepsis: Proportion of cases of sepsis that result in mortality</t>
  </si>
  <si>
    <t>Obstructed labor: Proportion of childbirth in which obstructed labour will be imminent</t>
  </si>
  <si>
    <t>Obstructed labor: Proportion of pregnant women with a risk factor for obstructed labour identifiable through ultrasound</t>
  </si>
  <si>
    <t>Proportion of births at a referral facility that result in mortality due to obstructed labor</t>
  </si>
  <si>
    <t>Proportion of births not at a referral facility that result in mortality due to obstructed labor</t>
  </si>
  <si>
    <t>Obstructed labor: Proportion of obstructed labour births that require a c-section</t>
  </si>
  <si>
    <t>Obstructed labor: Less severe disability due to obstructed labour in referral facility (DALYs per case)</t>
  </si>
  <si>
    <t>Obstructed labor: Disability due to obstructed labour in other location (DALYs per case)</t>
  </si>
  <si>
    <t>Proportion of obstructed labor cases that will not result in stillbirth due to treatment</t>
  </si>
  <si>
    <t>Proportion of other neonatal conditions that result in mortality</t>
  </si>
  <si>
    <t>Relative risk of neonatal sepsis from maternal sepsis</t>
  </si>
  <si>
    <t>Efficacy of product for treatment of neonatal sepsis</t>
  </si>
  <si>
    <t>Proportion of childbirths in which neonatal sepsis occurs in preterm/SGA neonates in the absence of treatment in the absence of risk factors</t>
  </si>
  <si>
    <t>Proportion of childbirths in which neonatal sepsis occurs in term/AGA neonates in the absence of risk factors</t>
  </si>
  <si>
    <t>Neonatal sepsis mortality rate</t>
  </si>
  <si>
    <t>Neonatal sepsis: disability weight (DALYs per case)</t>
  </si>
  <si>
    <t>Preterm: Proportion of term births that are SGA in the absence of risk factors</t>
  </si>
  <si>
    <t>Proportion of preterm births that are SGA in the absence of risk factors</t>
  </si>
  <si>
    <t>Proportion of births that are preterm in the absence of risk factors</t>
  </si>
  <si>
    <t>Preterm: Relative risk of SGA from maternal underweight</t>
  </si>
  <si>
    <t>Relative risk of preterm from maternal underweight</t>
  </si>
  <si>
    <t>Proportion of births that are preterm</t>
  </si>
  <si>
    <t>Proportion of preterm births that are SGA</t>
  </si>
  <si>
    <t>Preterm: Proportion of term births that are SGA</t>
  </si>
  <si>
    <t>Proportion of childbirths that will be preterm sga which are identified through ultrasound</t>
  </si>
  <si>
    <t>Proportion of childbirths that will be preterm aga which are identified through ultrasound</t>
  </si>
  <si>
    <t>Preterm: Proportion of childbirths that will be term sga which are identified through ultrasound</t>
  </si>
  <si>
    <t>Preterm: Proportion of childbirths that will be term aga which are identified through ultrasound</t>
  </si>
  <si>
    <t>Proportion of cases of preterm SGA at a referral facility that result in mortality</t>
  </si>
  <si>
    <t>Proportion of cases of preterm SGA not at a referral facility that result in mortality</t>
  </si>
  <si>
    <t>Proportion of cases of preterm AGA at a referral facility that result in mortality</t>
  </si>
  <si>
    <t>Proportion of cases of preterm AGA not at a referral facility that result in mortality</t>
  </si>
  <si>
    <t>Preterm: Proportion of cases of term SGA at a referral facility that result in mortality</t>
  </si>
  <si>
    <t>Preterm: Proportion of cases of term SGA at a referral facility that result in morbidity</t>
  </si>
  <si>
    <t>Preterm: Proportion of cases of term SGA not at a referral facility that result in mortality</t>
  </si>
  <si>
    <t>Preterm: Proportion of cases of term SGA not at a referral facility that result in morbidity</t>
  </si>
  <si>
    <t>RDS risk in the absence of any interventions</t>
  </si>
  <si>
    <t>RDS product efficacy</t>
  </si>
  <si>
    <t>Proportion of childbirth in which RDS occurs given preterm identified</t>
  </si>
  <si>
    <t>Proportion of childbirth in which RDS occurs given preterm not identified</t>
  </si>
  <si>
    <t>Proportion of cases of RDS in which the neonate is less than 28 weeks gestational age</t>
  </si>
  <si>
    <t>RDS mortality rate for cases at a referral facility less than 28 weeks</t>
  </si>
  <si>
    <t>RDS mortality rate for cases at a other location less than 28 weeks</t>
  </si>
  <si>
    <t>Lung surfactant efficacy on RDS mortality</t>
  </si>
  <si>
    <t>N.A.</t>
  </si>
  <si>
    <t>RDS mortality rate for cases at a other location greater than 28 weeks</t>
  </si>
  <si>
    <t>Proportion of births with severe wasting 6 to 18 months from birth in the absence of risk factors</t>
  </si>
  <si>
    <t>Proportion of births with moderate wasting 6 to 18 months from birth in the absence of risk factors</t>
  </si>
  <si>
    <t>Proportion of births with severe wasting 19 to 59 months from birth in the absence of risk factors</t>
  </si>
  <si>
    <t>Proportion of births with moderate wasting 19 to 59 months from birth in the absence of risk factors</t>
  </si>
  <si>
    <t>Relative risk of wasting from maternal underweight</t>
  </si>
  <si>
    <t>Relative risk of wasting from SGA</t>
  </si>
  <si>
    <t>Relative risk of wasting from preterm</t>
  </si>
  <si>
    <t>Relative risk of wasting from preterm SGA</t>
  </si>
  <si>
    <t>Efficacy of underweight treatment on wasting occurrence</t>
  </si>
  <si>
    <t>Efficacy of treatment on wasting relapse</t>
  </si>
  <si>
    <t>Wasting: Proportion of births that are underweight 8 days to 5 months in the absence of risk factors</t>
  </si>
  <si>
    <t>Proportion of births that result in prolonged wasting 8 days to 5 months without intervention</t>
  </si>
  <si>
    <t>Proportion of cases of wasting that result in mortality due to wasting 8 days to 5 months without intervention</t>
  </si>
  <si>
    <t>Proportion of births with severe wasting that result in hospitalized wasting 6 to 18 months from childbirth</t>
  </si>
  <si>
    <t>Proportion of births with moderate wasting that result in hospitalized wasting 6 to 18 months from childbirth</t>
  </si>
  <si>
    <t>Proportion of cases of hospitalized severe wasting that result in mortality 6 to 18 months from childbirth in the absence of intervention</t>
  </si>
  <si>
    <t>Proportion of cases of hospitalized moderate wasting that result in mortality 6 to 18 months from childbirth in the absence of intervention</t>
  </si>
  <si>
    <t>Proportion of births with severe wasting that result in hospitalized wasting 19 to 59 months from childbirth</t>
  </si>
  <si>
    <t>Proportion of births with moderate wasting that result in hospitalized wasting 19 to 59 months from childbirth</t>
  </si>
  <si>
    <t>Proportion of cases of hospitalized severe wasting that result in mortality 19 to 59 months from childbirth in the absence of intervention</t>
  </si>
  <si>
    <t>Proportion of cases of hospitalized moderate wasting that result in mortality 19 to 59 months from childbirth in the absence of intervention</t>
  </si>
  <si>
    <t>Proportion of childbirths that result in stunting in the absence of a risk factors</t>
  </si>
  <si>
    <t>Relative risk of stunting from maternal underweight</t>
  </si>
  <si>
    <t>auto_inter_ol_hm_to_asx_hm</t>
  </si>
  <si>
    <t>From population type</t>
  </si>
  <si>
    <t>To population type</t>
  </si>
  <si>
    <t>Y</t>
  </si>
  <si>
    <t>From population</t>
  </si>
  <si>
    <t>To population</t>
  </si>
  <si>
    <t>auto_inter_msep_hm_to_asx_hm</t>
  </si>
  <si>
    <t>auto_inter_anc_hm_to_an_hm</t>
  </si>
  <si>
    <t>auto_inter_hm_hm_to_an_hm</t>
  </si>
  <si>
    <t>auto_inter_anc_hm_to_hm_hm</t>
  </si>
  <si>
    <t>auto_inter_an_hm_to_hm_hm</t>
  </si>
  <si>
    <t>auto_inter_hm_hm_to_hm_hm</t>
  </si>
  <si>
    <t>auto_inter_ol_hm_to_hm_hm</t>
  </si>
  <si>
    <t>auto_inter_pt_hm_to_hm_hm</t>
  </si>
  <si>
    <t>auto_inter_msep_hm_to_hm_hm</t>
  </si>
  <si>
    <t>auto_inter_anc_hm_to_msep_hm</t>
  </si>
  <si>
    <t>auto_inter_ol_hm_to_msep_hm</t>
  </si>
  <si>
    <t>auto_inter_hm_hm_to_msep_hm</t>
  </si>
  <si>
    <t>auto_inter_msep_hm_to_msep_hm</t>
  </si>
  <si>
    <t>auto_inter_anc_hm_to_ol_hm</t>
  </si>
  <si>
    <t>auto_inter_hm_hm_to_ol_hm</t>
  </si>
  <si>
    <t>auto_inter_ol_hm_to_ol_hm</t>
  </si>
  <si>
    <t>auto_inter_pt_hm_to_ol_hm</t>
  </si>
  <si>
    <t>auto_inter_msep_hm_to_ol_hm</t>
  </si>
  <si>
    <t>auto_inter_asx_hm_to_nsep_hm</t>
  </si>
  <si>
    <t>auto_inter_msep_hm_to_nsep_hm</t>
  </si>
  <si>
    <t>auto_inter_pt_hm_to_nsep_hm</t>
  </si>
  <si>
    <t>auto_inter_anc_hm_to_pt_hm</t>
  </si>
  <si>
    <t>auto_inter_hm_hm_to_pt_hm</t>
  </si>
  <si>
    <t>auto_inter_ol_hm_to_pt_hm</t>
  </si>
  <si>
    <t>auto_inter_pt_hm_to_pt_hm</t>
  </si>
  <si>
    <t>auto_inter_msep_hm_to_pt_hm</t>
  </si>
  <si>
    <t>auto_inter_asx_hm_to_rds_hm</t>
  </si>
  <si>
    <t>auto_inter_pt_hm_to_rds_hm</t>
  </si>
  <si>
    <t>auto_inter_rds_hm_to_wasting_hm</t>
  </si>
  <si>
    <t>auto_inter_pt_hm_to_wasting_hm</t>
  </si>
  <si>
    <t>auto_inter_asx_hm_to_stunting_hm</t>
  </si>
  <si>
    <t>auto_inter_pt_hm_to_stunting_hm</t>
  </si>
  <si>
    <t>auto_inter_an_hm_to_pt_hm</t>
  </si>
  <si>
    <t>Preterm: Relative risk of SGA from anemia</t>
  </si>
  <si>
    <t>RDS: Proportion of cases of preterm that are identified</t>
  </si>
  <si>
    <t>Neonatal sepsis: Proportion of preterm that is identified</t>
  </si>
  <si>
    <t>Disability weight due to RDS morbidity</t>
  </si>
  <si>
    <t>Other neonatal conditions: Proportion of childbirth in which other neonatal condition occurs in the absence of intervention</t>
  </si>
  <si>
    <t>auto_inter_ol_hm_to_an_hm</t>
  </si>
  <si>
    <t>auto_inter_msep_hm_to_an_hm</t>
  </si>
  <si>
    <t>auto_inter_an_hm_to_an_hm</t>
  </si>
  <si>
    <t>auto_inter_an_hm_to_msep_hm</t>
  </si>
  <si>
    <t>auto_inter_an_hm_to_ol_hm</t>
  </si>
  <si>
    <t>Birth asphyxia incidence</t>
  </si>
  <si>
    <t>Asphyxia: Stillbirth incidence</t>
  </si>
  <si>
    <t>Hemorrhage: Number of incident cases</t>
  </si>
  <si>
    <t>Hemorrhage: Number of mortalities</t>
  </si>
  <si>
    <t>Maternal sepsis: Incident cases</t>
  </si>
  <si>
    <t>Maternal sepsis: Mortalities</t>
  </si>
  <si>
    <t>Obstructed labor: Incident cases</t>
  </si>
  <si>
    <t>Deaths due to obstructed labor</t>
  </si>
  <si>
    <t>Neonatal sepsis: Number of incident cases</t>
  </si>
  <si>
    <t>Number of childbirths that result in mortality due to neonatal sepsis</t>
  </si>
  <si>
    <t>Number of incident cases (preterm)</t>
  </si>
  <si>
    <t>Number of mortalities (preterm)</t>
  </si>
  <si>
    <t>Antenatal care: Proportion of births with mortality due to all childbirth conditions not captured in any module</t>
  </si>
  <si>
    <t>Antenatal care: Proportion of births at a referral facility not a result of risks detected via ultrasound (ie, those that have childbirth at a referral facility without a referral)</t>
  </si>
  <si>
    <t>Asphyxia: Proportion of births that are stillbirth in the absence of risk factors</t>
  </si>
  <si>
    <t>Asphyxia: Less severe disability due to encephalopathy (treated) (YLDs per case)</t>
  </si>
  <si>
    <t>Asphyxia: Disability due to encephalopathy (YLDs per case)</t>
  </si>
  <si>
    <t>Encephalopathy mortality due to birth asphyxia</t>
  </si>
  <si>
    <t>Disability due to mild anemia (YLDs per case)</t>
  </si>
  <si>
    <t>Disability due to moderate anemia (YLDs per case)</t>
  </si>
  <si>
    <t>Disability due to severe anemia (YLDs per case)</t>
  </si>
  <si>
    <t>Relative risk of hemorrhage from non-severe anemia</t>
  </si>
  <si>
    <t>Disability weight due to hemorrhage at a referral facility (YLDs per case)</t>
  </si>
  <si>
    <t>Disability weight due to hemorrhage in other facility (YLDs per case)</t>
  </si>
  <si>
    <t>Maternal sepsis: Post childbirth disability due to sepsis (YLDs per case)</t>
  </si>
  <si>
    <t>Obstructed labor: Proportion of pregnant women with a risk factor for obstructed labour identified through ultrasound</t>
  </si>
  <si>
    <t>Proportion of pregnant women with risk factor for obstructed labor identified through ultrasound accepting referral</t>
  </si>
  <si>
    <t>Proportion of other neonatal conditions that result in disability</t>
  </si>
  <si>
    <t>Other neonatal conditions: Incident cases</t>
  </si>
  <si>
    <t>Other neonatal conditions: Mortalities</t>
  </si>
  <si>
    <t>Proportion of cases of neonatal sepsis that result in morbidity</t>
  </si>
  <si>
    <t>Disability due to preterm SGA (YLDs per incident case)</t>
  </si>
  <si>
    <t>Disability due to preterm (YLDs per incident case)</t>
  </si>
  <si>
    <t>Preterm: Disability due to SGA (YLDs per incident case)</t>
  </si>
  <si>
    <t>Disability due to stunting (lifetime YLDs per infant)</t>
  </si>
  <si>
    <t>RDS mortality rate at referral in the absence of intervention greater than 28 weeks</t>
  </si>
  <si>
    <t>Disability due to wasting 6-18mo (YLDs per case)</t>
  </si>
  <si>
    <t>Disability due to wasting 19-59mo (YLDs per case)</t>
  </si>
  <si>
    <t>Wasting: Disability due to underweight 8d-5mo (YLDs per case)</t>
  </si>
  <si>
    <t>auto_inter_asx_hm_to_oth_hm</t>
  </si>
  <si>
    <t>Proportion of cases of no illness/community based severe wasting that result in mortality 6 to 18 months from childbirth in the absence of intervention</t>
  </si>
  <si>
    <t>Proportion of cases of no illness/community based moderate wasting that result in mortality 6 to 18 months from childbirth in the absence of intervention</t>
  </si>
  <si>
    <t>Proportion of cases of no illness/community based severe wasting that result in mortality 19 to 59 months from childbirth in the absence of intervention</t>
  </si>
  <si>
    <t>Proportion of cases of no illness/community based moderate wasting that result in mortality 19 to 59 months from childbirth in the absence of intervention</t>
  </si>
  <si>
    <t>auto_inter_anc_hm_to_asx_hm</t>
  </si>
  <si>
    <t>auto_inter_anc_hm_to_oth_hm</t>
  </si>
  <si>
    <t>auto_inter_anc_hm_to_nsep_hm</t>
  </si>
  <si>
    <t>auto_inter_anc_hm_to_rds_hm</t>
  </si>
  <si>
    <t>auto_inter_anc_hm_to_wasting_hm</t>
  </si>
  <si>
    <t>auto_inter_anc_hm_to_stunting_hm</t>
  </si>
  <si>
    <t>Antenatal care: Life expectancy</t>
  </si>
  <si>
    <t>Antenatal care: Average maternal age</t>
  </si>
  <si>
    <t>auto_inter_asx_hm_to_asx_hm</t>
  </si>
  <si>
    <t>auto_inter_nsep_hm_to_asx_hm</t>
  </si>
  <si>
    <t>auto_inter_oth_hm_to_asx_hm</t>
  </si>
  <si>
    <t>auto_inter_rds_hm_to_asx_hm</t>
  </si>
  <si>
    <t>auto_inter_stunting_hm_to_asx_hm</t>
  </si>
  <si>
    <t>auto_inter_nsep_hm_to_oth_hm</t>
  </si>
  <si>
    <t>auto_inter_oth_hm_to_oth_hm</t>
  </si>
  <si>
    <t>auto_inter_rds_hm_to_oth_hm</t>
  </si>
  <si>
    <t>auto_inter_stunting_hm_to_oth_hm</t>
  </si>
  <si>
    <t>auto_inter_nsep_hm_to_nsep_hm</t>
  </si>
  <si>
    <t>auto_inter_oth_hm_to_nsep_hm</t>
  </si>
  <si>
    <t>auto_inter_rds_hm_to_nsep_hm</t>
  </si>
  <si>
    <t>auto_inter_stunting_hm_to_nsep_hm</t>
  </si>
  <si>
    <t>auto_inter_nsep_hm_to_rds_hm</t>
  </si>
  <si>
    <t>auto_inter_oth_hm_to_rds_hm</t>
  </si>
  <si>
    <t>auto_inter_rds_hm_to_rds_hm</t>
  </si>
  <si>
    <t>auto_inter_stunting_hm_to_rds_hm</t>
  </si>
  <si>
    <t>auto_inter_nsep_hm_to_stunting_hm</t>
  </si>
  <si>
    <t>auto_inter_oth_hm_to_stunting_hm</t>
  </si>
  <si>
    <t>auto_inter_rds_hm_to_stunting_hm</t>
  </si>
  <si>
    <t>auto_inter_stunting_hm_to_stunting_hm</t>
  </si>
  <si>
    <t>auto_inter_anc_hm_to_anc_hm</t>
  </si>
  <si>
    <t>auto_inter_hm_hm_to_anc_hm</t>
  </si>
  <si>
    <t>auto_inter_ol_hm_to_anc_hm</t>
  </si>
  <si>
    <t>auto_inter_pt_hm_to_anc_hm</t>
  </si>
  <si>
    <t>Maternal sepsis: Maternal Azithromycin product coverage</t>
  </si>
  <si>
    <t>Maternal sepsis: Product risk reduction on sepsis</t>
  </si>
  <si>
    <t>Preterm: Proportion accepting referral</t>
  </si>
  <si>
    <t>Proportion of obstructed labor cases that produce birth asphyxia</t>
  </si>
  <si>
    <t>Proportion of asphyxia that result in mortality due to encephalopathy at a referral facility</t>
  </si>
  <si>
    <t>Proportion of asphyxia that result in mortality due to encephalopathy not at a referral facility</t>
  </si>
  <si>
    <t>auto_inter_pt_hm_to_asx_hm</t>
  </si>
  <si>
    <t>auto_inter_pt_hm_to_oth_hm</t>
  </si>
  <si>
    <t>auto_inter_pt_hm_to_an_hm</t>
  </si>
  <si>
    <t>Relative risk of bleeding related anemia from moderate or severe anemia during pregnancy</t>
  </si>
  <si>
    <t>Relative risk of bleeding related anemia from mild anemia during pregnancy</t>
  </si>
  <si>
    <t xml:space="preserve">Efficacy of wasting treatment on hospitalized wasting mortality 6 to 18 months </t>
  </si>
  <si>
    <t>Efficacy of wasting treatment on community based wasting mortality 6 to 18 months</t>
  </si>
  <si>
    <t>Efficacy of wasting treatment on hospitalized wasting morbidity 6 to 18 months</t>
  </si>
  <si>
    <t>Efficacy of wasting treatment on community wasting morbidity 6 to 18 months</t>
  </si>
  <si>
    <t>Efficacy of wasting treatment on hospitalized wasting mortality 19 to 59 months</t>
  </si>
  <si>
    <t>Efficacy of wasting treatment on community wasting mortality 19 to 59 months</t>
  </si>
  <si>
    <t>Efficacy of wasting treatment on hospitalized wasting morbidity 19 to 59 months</t>
  </si>
  <si>
    <t>Efficacy of wasting treatment on community wasting morbidity 19 to 59 months</t>
  </si>
  <si>
    <t>#ignore</t>
  </si>
  <si>
    <t>Reduction in preterm due to BEP</t>
  </si>
  <si>
    <t>Asphyxia: Reduction in stillbirth due to BEP</t>
  </si>
  <si>
    <t>Preterm: Reduction in SGA due to BEP</t>
  </si>
  <si>
    <t>auto_inter_msep_hm_to_oth_hm</t>
  </si>
  <si>
    <t>Obstructed labor: C-section coverage</t>
  </si>
  <si>
    <t>Assuming 0.92 RF non-csection impact</t>
  </si>
  <si>
    <t>IHME</t>
  </si>
  <si>
    <t>Maternal sepsis: Maternal Azithromycin impact on other neonatal conditions</t>
  </si>
  <si>
    <t>Maternal sepsis: Maternal Azithromycin impact on stillbirths</t>
  </si>
  <si>
    <t>Maternal sepsis: Maternal Azithromycin pregnancy coverage for births at a referral facility</t>
  </si>
  <si>
    <t>Asphyxia: Prevalence of maternal underweight</t>
  </si>
  <si>
    <t>Asphyxia: Prevalence of treated maternal underweight</t>
  </si>
  <si>
    <t>Asphyxia: Relative risk of stillbirth from early onset pre-eclampsia</t>
  </si>
  <si>
    <t>Asphyxia: Relative risk of stillbirth from late onset pre-eclampsia</t>
  </si>
  <si>
    <t>Relative risk of preterm from maternal early onset pre-eclampsia</t>
  </si>
  <si>
    <t>Relative risk of preterm from maternal late onset pre-eclampsia</t>
  </si>
  <si>
    <t>Preterm: Relative risk of SGA from maternal early onset pre-eclampsia</t>
  </si>
  <si>
    <t>Preterm: Relative risk of SGA from maternal late onset pre-eclampsia</t>
  </si>
  <si>
    <t>Preeclampsia: Proportion of pregnancies in which pre-eclampsia will occur</t>
  </si>
  <si>
    <t>D&amp;T primary data sources</t>
  </si>
  <si>
    <t>Preeclampsia: Proportion pre-eclampsia cases that are high risk</t>
  </si>
  <si>
    <t>Preeclampsia: Diagnostic tool sensitivity</t>
  </si>
  <si>
    <t>Model assumption</t>
  </si>
  <si>
    <t>Preeclampsia: Prevention product efficacy</t>
  </si>
  <si>
    <t>Model assumption default</t>
  </si>
  <si>
    <t>Preeclampsia: Proportion of pregnancies with pre-eclampsia that are early onset</t>
  </si>
  <si>
    <t>Magee et al 2018 (PLOS Med)</t>
  </si>
  <si>
    <t>Preeclampsia: Sensitivity of ANC pre-eclampsia test 2nd trimester</t>
  </si>
  <si>
    <t>Preeclampsia: Pre-eclampsia product efficacy 2nd trimester</t>
  </si>
  <si>
    <t>Preeclampsia: Mortality rate for untreated pre-eclampsia 2nd trimester</t>
  </si>
  <si>
    <t>To be calibrated</t>
  </si>
  <si>
    <t>Preeclampsia: Proportion of cases of LOPE that are severe</t>
  </si>
  <si>
    <t>As in product effect size sheet</t>
  </si>
  <si>
    <t>Preeclampsia: Sensitivity of ANC pre-eclampsia test for severe pre-eclampsia 3rd trimester</t>
  </si>
  <si>
    <t>Preeclampsia: Sensitivity of ANC pre-eclampsia for non-severe pre-eclampsia test 3rd trimester</t>
  </si>
  <si>
    <t>Preeclampsia: Pre-eclampsia product efficacy for severe pre-eclampsia 3rd trimester</t>
  </si>
  <si>
    <t>Preeclampsia: Pre-eclampsia product efficacy for non-severe pre-eclampsia 3rd trimester</t>
  </si>
  <si>
    <t>Preeclampsia: Mortality rate for untreated non-severe pre-eclampsia 3rd trimester</t>
  </si>
  <si>
    <t>Disability weight due to preeclampsia</t>
  </si>
  <si>
    <t>GBD</t>
  </si>
  <si>
    <t>Maternal nutrition: Multiple micronutrient supplement product efficacy - stillbirth</t>
  </si>
  <si>
    <t>Maternal nutrition: Multiple micronutrient supplement product efficacy - preterm</t>
  </si>
  <si>
    <t>Maternal nutrition: Multiple micronutrient supplement product efficacy - small for gestantion age</t>
  </si>
  <si>
    <t>Maternal nutrition: Multiple micronutrient supplement product efficacy - anemia</t>
  </si>
  <si>
    <t>preecl_hm</t>
  </si>
  <si>
    <t>Preeclampsia: Humans</t>
  </si>
  <si>
    <t>mnut_hm</t>
  </si>
  <si>
    <t>Maternal nutrition: Humans</t>
  </si>
  <si>
    <t>auto_inter_mnut_hm_to_asx_hm</t>
  </si>
  <si>
    <t>auto_inter_preecl_hm_to_asx_hm</t>
  </si>
  <si>
    <t>auto_inter_mnut_hm_to_an_hm</t>
  </si>
  <si>
    <t>auto_inter_mnut_hm_to_hm_hm</t>
  </si>
  <si>
    <t>auto_inter_mnut_hm_to_msep_hm</t>
  </si>
  <si>
    <t>auto_inter_anc_hm_to_preecl_hm</t>
  </si>
  <si>
    <t>auto_inter_anc_hm_to_mnut_hm</t>
  </si>
  <si>
    <t>auto_inter_ol_hm_to_mnut_hm</t>
  </si>
  <si>
    <t>auto_inter_hm_hm_to_mnut_hm</t>
  </si>
  <si>
    <t>auto_inter_msep_hm_to_mnut_hm</t>
  </si>
  <si>
    <t>auto_inter_an_hm_to_mnut_hm</t>
  </si>
  <si>
    <t>auto_inter_mnut_hm_to_mnut_hm</t>
  </si>
  <si>
    <t>auto_inter_mnut_hm_to_ol_hm</t>
  </si>
  <si>
    <t>auto_inter_mnut_hm_to_pt_hm</t>
  </si>
  <si>
    <t>auto_inter_preecl_hm_to_pt_hm</t>
  </si>
  <si>
    <t>Wasting: Proportion of pregnancies with maternal underweight</t>
  </si>
  <si>
    <t>Wasting: Proportion of pregnancies with maternal underweight during pregnancy but not lactation</t>
  </si>
  <si>
    <t>Wasting: Proportion of pregnancies with maternal underweight during lactation but not pregnancy</t>
  </si>
  <si>
    <t>Wasting: Proportion of pregnancies with maternal underweight not treated at any stage</t>
  </si>
  <si>
    <t>Proportion of anemia cases in pregnant women that will be mild in the absence of risk factors</t>
  </si>
  <si>
    <t>Preterm: Proportion of births with maternal underweight</t>
  </si>
  <si>
    <t>Preterm: Prevalence of treated maternal underweight</t>
  </si>
  <si>
    <t>Stunting: Proportion of pregnancies with maternal underweight</t>
  </si>
  <si>
    <t>Stunting: Proportion of pregnancies with maternal underweight during pregnancy but not lactation</t>
  </si>
  <si>
    <t>Stunting: Proportion of pregnancies with maternal underweight during lactation but not pregnancy</t>
  </si>
  <si>
    <t>Stunting: Proportion of pregnancies with maternal underweight not treated at any stage</t>
  </si>
  <si>
    <t xml:space="preserve">Ki stunting rally results </t>
  </si>
  <si>
    <t>Relative risk of stunting from preterm</t>
  </si>
  <si>
    <t>Relative risk of stunting from SGA</t>
  </si>
  <si>
    <t>Neonatal sepsis: B. Infantis product efficacy on stunting</t>
  </si>
  <si>
    <t>https://data.un.org/Data.aspx?d=PopDiv&amp;f=variableID%3A68</t>
  </si>
  <si>
    <t>https://population.un.org/dataportal/data/indicators/18/locations/1859,5504,1500,1501,5501,947/start/2024/end/2024/table/pivotbylocation?df=e8b7480d-00b9-4d06-b2da-e18447d1ab33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</si>
</sst>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5" x14ac:knownFonts="1">
    <font>
      <sz val="11"/>
      <color theme="1"/>
      <name val="Calibri"/>
      <family val="2"/>
      <scheme val="minor"/>
    </font>
    <font>
      <b/>
      <sz val="11"/>
      <color theme="1"/>
      <name val="Calibri"/>
      <family val="2"/>
      <scheme val="minor"/>
    </font>
    <font>
      <sz val="8"/>
      <color indexed="81"/>
      <name val="Tahoma"/>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9"/>
      <color indexed="81"/>
      <name val="Tahoma"/>
      <family val="2"/>
    </font>
    <font>
      <b/>
      <sz val="9"/>
      <color indexed="81"/>
      <name val="Tahoma"/>
      <family val="2"/>
    </font>
    <font>
      <sz val="11"/>
      <color rgb="FF000000"/>
      <name val="Courier New"/>
      <family val="3"/>
    </font>
    <font>
      <sz val="11"/>
      <color rgb="FF444444"/>
      <name val="Calibri"/>
      <family val="2"/>
      <scheme val="minor"/>
    </font>
    <font>
      <b/>
      <sz val="11"/>
      <name val="Calibri"/>
      <family val="2"/>
      <scheme val="minor"/>
    </font>
  </fonts>
  <fills count="38">
    <fill>
      <patternFill patternType="none"/>
    </fill>
    <fill>
      <patternFill patternType="gray125"/>
    </fill>
    <fill>
      <patternFill patternType="solid">
        <fgColor rgb="FF98E0FA"/>
        <bgColor indexed="64"/>
      </patternFill>
    </fill>
    <fill>
      <patternFill patternType="solid">
        <fgColor rgb="FFEEEEE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6"/>
        <bgColor indexed="64"/>
      </patternFill>
    </fill>
    <fill>
      <patternFill patternType="solid">
        <fgColor rgb="FFE7E6E6"/>
        <bgColor rgb="FF000000"/>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7" borderId="6" applyNumberFormat="0" applyAlignment="0" applyProtection="0"/>
    <xf numFmtId="0" fontId="11" fillId="8" borderId="7" applyNumberFormat="0" applyAlignment="0" applyProtection="0"/>
    <xf numFmtId="0" fontId="12" fillId="8" borderId="6" applyNumberFormat="0" applyAlignment="0" applyProtection="0"/>
    <xf numFmtId="0" fontId="13" fillId="0" borderId="8" applyNumberFormat="0" applyFill="0" applyAlignment="0" applyProtection="0"/>
    <xf numFmtId="0" fontId="14" fillId="9" borderId="9" applyNumberFormat="0" applyAlignment="0" applyProtection="0"/>
    <xf numFmtId="0" fontId="15" fillId="0" borderId="0" applyNumberFormat="0" applyFill="0" applyBorder="0" applyAlignment="0" applyProtection="0"/>
    <xf numFmtId="0" fontId="3" fillId="10" borderId="10" applyNumberFormat="0" applyFont="0" applyAlignment="0" applyProtection="0"/>
    <xf numFmtId="0" fontId="16" fillId="0" borderId="0" applyNumberFormat="0" applyFill="0" applyBorder="0" applyAlignment="0" applyProtection="0"/>
    <xf numFmtId="0" fontId="1" fillId="0" borderId="11" applyNumberFormat="0" applyFill="0" applyAlignment="0" applyProtection="0"/>
    <xf numFmtId="0" fontId="17"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7"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7"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7"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9" fillId="6"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34" borderId="0" applyNumberFormat="0" applyBorder="0" applyAlignment="0" applyProtection="0"/>
  </cellStyleXfs>
  <cellXfs count="38">
    <xf numFmtId="0" fontId="0" fillId="0" borderId="0" xfId="0"/>
    <xf numFmtId="0" fontId="1" fillId="0" borderId="0" xfId="0" applyFont="1" applyAlignment="1">
      <alignment horizontal="center"/>
    </xf>
    <xf numFmtId="0" fontId="0" fillId="2" borderId="1" xfId="0" applyFill="1" applyBorder="1" applyProtection="1">
      <protection locked="0"/>
    </xf>
    <xf numFmtId="0" fontId="0" fillId="3" borderId="2" xfId="0" applyFill="1" applyBorder="1"/>
    <xf numFmtId="0" fontId="0" fillId="0" borderId="0" xfId="0" applyAlignment="1">
      <alignment horizontal="center"/>
    </xf>
    <xf numFmtId="0" fontId="0" fillId="2" borderId="1" xfId="0" applyFill="1" applyBorder="1" applyAlignment="1" applyProtection="1">
      <alignment horizontal="center"/>
      <protection locked="0"/>
    </xf>
    <xf numFmtId="0" fontId="18" fillId="0" borderId="0" xfId="0" applyFont="1" applyAlignment="1">
      <alignment horizontal="left" wrapText="1"/>
    </xf>
    <xf numFmtId="0" fontId="0" fillId="35" borderId="0" xfId="0" applyFill="1"/>
    <xf numFmtId="0" fontId="18" fillId="0" borderId="0" xfId="0" applyFont="1"/>
    <xf numFmtId="0" fontId="22" fillId="0" borderId="0" xfId="0" applyFont="1" applyAlignment="1">
      <alignment horizontal="left" vertical="center"/>
    </xf>
    <xf numFmtId="0" fontId="0" fillId="36" borderId="0" xfId="0" applyFill="1"/>
    <xf numFmtId="0" fontId="18" fillId="37" borderId="0" xfId="0" applyFont="1" applyFill="1"/>
    <xf numFmtId="0" fontId="15" fillId="37" borderId="0" xfId="0" applyFont="1" applyFill="1"/>
    <xf numFmtId="0" fontId="18" fillId="0" borderId="0" xfId="0" applyFont="1" applyAlignment="1">
      <alignment wrapText="1"/>
    </xf>
    <xf numFmtId="0" fontId="1" fillId="0" borderId="0" xfId="0" applyFont="1" applyFill="1" applyAlignment="1">
      <alignment horizontal="center"/>
    </xf>
    <xf numFmtId="0" fontId="0" fillId="0" borderId="0" xfId="0" applyFill="1"/>
    <xf numFmtId="0" fontId="0" fillId="0" borderId="2" xfId="0" applyFill="1" applyBorder="1"/>
    <xf numFmtId="0" fontId="0" fillId="0" borderId="0" xfId="0" applyFill="1" applyAlignment="1">
      <alignment horizontal="center"/>
    </xf>
    <xf numFmtId="0" fontId="22" fillId="0" borderId="0" xfId="0" applyFont="1" applyFill="1" applyAlignment="1">
      <alignment horizontal="left" vertical="center"/>
    </xf>
    <xf numFmtId="0" fontId="18" fillId="0" borderId="0" xfId="0" applyFont="1" applyFill="1" applyAlignment="1">
      <alignment horizontal="left" wrapText="1"/>
    </xf>
    <xf numFmtId="0" fontId="18" fillId="0" borderId="0" xfId="0" applyFont="1" applyFill="1"/>
    <xf numFmtId="9" fontId="22" fillId="0" borderId="0" xfId="0" applyNumberFormat="1" applyFont="1" applyFill="1" applyAlignment="1">
      <alignment horizontal="left" vertical="center"/>
    </xf>
    <xf numFmtId="9" fontId="0" fillId="0" borderId="0" xfId="0" applyNumberFormat="1" applyFill="1" applyAlignment="1">
      <alignment wrapText="1"/>
    </xf>
    <xf numFmtId="0" fontId="0" fillId="0" borderId="1" xfId="0" applyFill="1" applyBorder="1" applyProtection="1">
      <protection locked="0"/>
    </xf>
    <xf numFmtId="10" fontId="18" fillId="0" borderId="0" xfId="0" applyNumberFormat="1" applyFont="1" applyFill="1"/>
    <xf numFmtId="164" fontId="0" fillId="0" borderId="0" xfId="0" applyNumberFormat="1" applyFill="1" applyAlignment="1">
      <alignment horizontal="left" wrapText="1"/>
    </xf>
    <xf numFmtId="0" fontId="18" fillId="0" borderId="0" xfId="0" applyFont="1" applyFill="1" applyAlignment="1">
      <alignment horizontal="left" vertical="center" wrapText="1"/>
    </xf>
    <xf numFmtId="0" fontId="24" fillId="0" borderId="0" xfId="0" applyFont="1" applyFill="1" applyAlignment="1">
      <alignment horizontal="center"/>
    </xf>
    <xf numFmtId="10" fontId="18" fillId="0" borderId="0" xfId="0" applyNumberFormat="1" applyFont="1" applyFill="1" applyAlignment="1">
      <alignment horizontal="left" wrapText="1"/>
    </xf>
    <xf numFmtId="0" fontId="1" fillId="0" borderId="0" xfId="0" applyFont="1" applyFill="1" applyAlignment="1">
      <alignment horizontal="center" vertical="center"/>
    </xf>
    <xf numFmtId="9" fontId="18" fillId="0" borderId="0" xfId="0" applyNumberFormat="1" applyFont="1" applyFill="1" applyAlignment="1">
      <alignment horizontal="left" wrapText="1"/>
    </xf>
    <xf numFmtId="10" fontId="23" fillId="0" borderId="0" xfId="0" applyNumberFormat="1" applyFont="1" applyFill="1"/>
    <xf numFmtId="10" fontId="0" fillId="0" borderId="2" xfId="0" applyNumberFormat="1" applyFill="1" applyBorder="1"/>
    <xf numFmtId="10" fontId="22" fillId="0" borderId="0" xfId="0" applyNumberFormat="1" applyFont="1" applyFill="1" applyAlignment="1">
      <alignment horizontal="left" vertical="center"/>
    </xf>
    <xf numFmtId="9" fontId="0" fillId="0" borderId="2" xfId="0" applyNumberFormat="1" applyFill="1" applyBorder="1"/>
    <xf numFmtId="9" fontId="18" fillId="0" borderId="0" xfId="0" applyNumberFormat="1" applyFont="1" applyFill="1"/>
    <xf numFmtId="10" fontId="18" fillId="0" borderId="0" xfId="0" applyNumberFormat="1" applyFont="1" applyFill="1" applyAlignment="1">
      <alignment wrapText="1"/>
    </xf>
    <xf numFmtId="9" fontId="18" fillId="0" borderId="0" xfId="0" applyNumberFormat="1" applyFont="1" applyFill="1" applyAlignment="1">
      <alignment wrapText="1"/>
    </xf>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9323728F-AEC0-46DD-9D27-23A9375DD70C}"/>
    <cellStyle name="60% - Accent2 2" xfId="37" xr:uid="{5A1D9C0D-C806-4D09-95DE-CE985BF333B3}"/>
    <cellStyle name="60% - Accent3 2" xfId="38" xr:uid="{0E2921DF-A948-4CD8-925E-E468F7BF6BCA}"/>
    <cellStyle name="60% - Accent4 2" xfId="39" xr:uid="{5E30CC7C-56D5-428C-8DB9-D001CEC5D6CB}"/>
    <cellStyle name="60% - Accent5 2" xfId="40" xr:uid="{89E1270C-5F56-4415-8100-4A48A1F5F951}"/>
    <cellStyle name="60% - Accent6 2" xfId="41" xr:uid="{40709D3F-5129-4E6E-A275-FFE2665653A2}"/>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C72FA214-4AC2-437E-9B89-B6E3F5455CC6}"/>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765">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ont>
        <color rgb="FF9C0006"/>
      </font>
      <fill>
        <patternFill>
          <bgColor rgb="FFFFC7CE"/>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ared%20drives\BMGF%20-%20IPM%20Valuation%20Tool\IPM%20models\MNCH%202021\Books\Modules\MNCHdt%20-%20stitched%20databook_DRAFT_202208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hared%20drives\BMGF%20-%20IPM%20Valuation%20Tool\IPM%20models\MNCH%202021\Books\Modules\MNCHdt%20-%20stitched%20databook_DRAFT_2022081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824.xlsx" TargetMode="External"/><Relationship Id="rId1" Type="http://schemas.openxmlformats.org/officeDocument/2006/relationships/externalLinkPath" Target="https://burnetinstitute.sharepoint.com/sites/WG-Modelling-BMGFIPM/Shared%20Documents/IPM%20models/MNCH%202023/Books/Modules/MNCHdt%20-%20stitched%20databook_DRAFT_202308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823.xlsx" TargetMode="External"/><Relationship Id="rId1" Type="http://schemas.openxmlformats.org/officeDocument/2006/relationships/externalLinkPath" Target="https://burnetinstitute.sharepoint.com/sites/WG-Modelling-BMGFIPM/Shared%20Documents/IPM%20models/MNCH%202023/Books/Modules/MNCHdt%20-%20stitched%20databook_DRAFT_202308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Shared%20drives\BMGF%20-%20IPM%20Valuation%20Tool\IPM%20models\MNCH%202023\Books\Modules\MNCHdt%20-%20stitched%20databook_DRAFT_20230619.xlsx" TargetMode="External"/><Relationship Id="rId1" Type="http://schemas.openxmlformats.org/officeDocument/2006/relationships/externalLinkPath" Target="file:///G:\Shared%20drives\BMGF%20-%20IPM%20Valuation%20Tool\IPM%20models\MNCH%202023\Books\Modules\MNCHdt%20-%20stitched%20databook_DRAFT_20230619.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Tom.walsh\Documents\GitHub\cat-mnch\paper\databooks\Other.xlsx" TargetMode="External"/><Relationship Id="rId1" Type="http://schemas.openxmlformats.org/officeDocument/2006/relationships/externalLinkPath" Target="Other.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Tom.walsh\Burnet%20Institute\WG-Modelling-BMGF%20IPM%20-%20Documents\IPM%20models\MNCH%202023\Books\Modules\MNCHdt%20-%20stitched%20databook_DRAFT_20230825.xlsx" TargetMode="External"/><Relationship Id="rId1" Type="http://schemas.openxmlformats.org/officeDocument/2006/relationships/externalLinkPath" Target="/Users/Tom.walsh/Burnet%20Institute/WG-Modelling-BMGF%20IPM%20-%20Documents/IPM%20models/MNCH%202023/Books/Modules/MNCHdt%20-%20stitched%20databook_DRAFT_20230825.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904.xlsx" TargetMode="External"/><Relationship Id="rId1" Type="http://schemas.openxmlformats.org/officeDocument/2006/relationships/externalLinkPath" Target="https://burnetinstitute.sharepoint.com/sites/WG-Modelling-BMGFIPM/Shared%20Documents/IPM%20models/MNCH%202023/Books/Modules/MNCHdt%20-%20stitched%20databook_DRAFT_202309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Definitions"/>
      <sheetName val="Antenatal care"/>
      <sheetName val="Asphyxia"/>
      <sheetName val="Anemia"/>
      <sheetName val="Hemorrhage"/>
      <sheetName val="Maternal sepsis"/>
      <sheetName val="Maternal underweight"/>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2">
          <cell r="A2" t="str">
            <v>anc_hm</v>
          </cell>
        </row>
        <row r="3">
          <cell r="A3" t="str">
            <v>asx_hm</v>
          </cell>
        </row>
        <row r="5">
          <cell r="A5" t="str">
            <v>hm_hm</v>
          </cell>
        </row>
        <row r="6">
          <cell r="A6" t="str">
            <v>msep_hm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Definitions"/>
      <sheetName val="Antenatal care"/>
      <sheetName val="Asphyxia"/>
      <sheetName val="Anemia"/>
      <sheetName val="Hemorrhage"/>
      <sheetName val="Maternal sepsis"/>
      <sheetName val="Maternal underweight"/>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2">
          <cell r="A2" t="str">
            <v>anc_hm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3">
          <cell r="A3" t="str">
            <v>asx_hm</v>
          </cell>
        </row>
        <row r="7">
          <cell r="A7" t="str">
            <v>preecl_hm</v>
          </cell>
        </row>
        <row r="8">
          <cell r="A8" t="str">
            <v>mnut_hm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3">
          <cell r="A3" t="str">
            <v>asx_hm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emia"/>
      <sheetName val="Antenatal care"/>
      <sheetName val="Hemorrhage"/>
      <sheetName val="Obstructed labor"/>
      <sheetName val="Maternal sepsis"/>
      <sheetName val="Maternal underweight"/>
      <sheetName val="RDS"/>
      <sheetName val="Preterm"/>
      <sheetName val="Asphyxia"/>
      <sheetName val="Neonatal sepsis"/>
      <sheetName val="Other neonatal conditions"/>
      <sheetName val="Stunting"/>
      <sheetName val="Wasting"/>
      <sheetName val="Other infant conditions"/>
      <sheetName val="Stitching"/>
      <sheetName val="Interactions"/>
    </sheetNames>
    <sheetDataSet>
      <sheetData sheetId="0">
        <row r="6">
          <cell r="A6" t="str">
            <v>msep_hm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ignore Maternal underweight"/>
      <sheetName val="Obstructed labor"/>
      <sheetName val="Other neonatal conditions"/>
      <sheetName val="Neonatal sepsis"/>
      <sheetName val="Preterm"/>
      <sheetName val="RDS"/>
      <sheetName val="Wasting"/>
      <sheetName val="Stunting"/>
      <sheetName val="#ignore Other infant conditions"/>
      <sheetName val="Preeclampsia"/>
      <sheetName val="Maternal nutrition"/>
      <sheetName val="Stitching"/>
      <sheetName val="Interactions"/>
    </sheetNames>
    <sheetDataSet>
      <sheetData sheetId="0">
        <row r="12">
          <cell r="A12" t="str">
            <v>pt_hm</v>
          </cell>
        </row>
        <row r="15">
          <cell r="A15" t="str">
            <v>stunting_hm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7">
          <cell r="A7" t="str">
            <v>preecl_hm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2">
          <cell r="A2" t="str">
            <v>anc_hm</v>
          </cell>
        </row>
        <row r="3">
          <cell r="A3" t="str">
            <v>asx_hm</v>
          </cell>
        </row>
        <row r="4">
          <cell r="A4" t="str">
            <v>an_hm</v>
          </cell>
        </row>
        <row r="5">
          <cell r="A5" t="str">
            <v>hm_hm</v>
          </cell>
        </row>
        <row r="6">
          <cell r="A6" t="str">
            <v>msep_hm</v>
          </cell>
        </row>
        <row r="7">
          <cell r="A7" t="str">
            <v>preecl_hm</v>
          </cell>
        </row>
        <row r="8">
          <cell r="A8" t="str">
            <v>mnut_hm</v>
          </cell>
        </row>
        <row r="9">
          <cell r="A9" t="str">
            <v>ol_hm</v>
          </cell>
        </row>
        <row r="10">
          <cell r="A10" t="str">
            <v>oth_hm</v>
          </cell>
        </row>
        <row r="11">
          <cell r="A11" t="str">
            <v>nsep_hm</v>
          </cell>
        </row>
        <row r="12">
          <cell r="A12" t="str">
            <v>pt_hm</v>
          </cell>
        </row>
        <row r="13">
          <cell r="A13" t="str">
            <v>rds_hm</v>
          </cell>
        </row>
        <row r="14">
          <cell r="A14" t="str">
            <v>wasting_hm</v>
          </cell>
        </row>
        <row r="15">
          <cell r="A15" t="str">
            <v>stunting_hm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Tom Walsh" id="{A81C5BC2-683C-4B17-AA5C-99F4FC9EDE95}" userId="S::tom.walsh@burnet.edu.au::e2ff8a69-72a3-488b-a8c5-2400f3c3c77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8-28T05:39:12.45" personId="{A81C5BC2-683C-4B17-AA5C-99F4FC9EDE95}" id="{587526CB-2652-4A91-9EF4-FA5F2D685563}">
    <text xml:space="preserve">2019 supplemented DHS data with GBD Covariate 1069
</text>
  </threadedComment>
</ThreadedComments>
</file>

<file path=xl/threadedComments/threadedComment2.xml><?xml version="1.0" encoding="utf-8"?>
<ThreadedComments xmlns="http://schemas.microsoft.com/office/spreadsheetml/2018/threadedcomments" xmlns:x="http://schemas.openxmlformats.org/spreadsheetml/2006/main">
  <threadedComment ref="A40" dT="2023-08-25T02:37:39.45" personId="{A81C5BC2-683C-4B17-AA5C-99F4FC9EDE95}" id="{F7CD4FE7-E7B2-45D5-A884-D1A278E56E7A}">
    <text>Note: severe is linked to this</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15"/>
  <sheetViews>
    <sheetView workbookViewId="0">
      <selection activeCell="C9" sqref="C9"/>
    </sheetView>
  </sheetViews>
  <sheetFormatPr defaultRowHeight="14.5" x14ac:dyDescent="0.35"/>
  <cols>
    <col min="1" max="1" width="14.81640625" customWidth="1"/>
    <col min="2" max="2" width="38" customWidth="1"/>
    <col min="3" max="3" width="18.26953125" customWidth="1"/>
  </cols>
  <sheetData>
    <row r="1" spans="1:3" x14ac:dyDescent="0.35">
      <c r="A1" s="1" t="s">
        <v>0</v>
      </c>
      <c r="B1" s="1" t="s">
        <v>1</v>
      </c>
      <c r="C1" s="1" t="s">
        <v>2</v>
      </c>
    </row>
    <row r="2" spans="1:3" x14ac:dyDescent="0.35">
      <c r="A2" s="2" t="s">
        <v>3</v>
      </c>
      <c r="B2" s="2" t="s">
        <v>4</v>
      </c>
      <c r="C2" s="3" t="s">
        <v>3</v>
      </c>
    </row>
    <row r="3" spans="1:3" x14ac:dyDescent="0.35">
      <c r="A3" s="2" t="s">
        <v>5</v>
      </c>
      <c r="B3" s="2" t="s">
        <v>6</v>
      </c>
      <c r="C3" s="3" t="s">
        <v>5</v>
      </c>
    </row>
    <row r="4" spans="1:3" x14ac:dyDescent="0.35">
      <c r="A4" s="2" t="s">
        <v>7</v>
      </c>
      <c r="B4" s="2" t="s">
        <v>8</v>
      </c>
      <c r="C4" s="3" t="s">
        <v>7</v>
      </c>
    </row>
    <row r="5" spans="1:3" x14ac:dyDescent="0.35">
      <c r="A5" s="2" t="s">
        <v>9</v>
      </c>
      <c r="B5" s="2" t="s">
        <v>10</v>
      </c>
      <c r="C5" s="3" t="s">
        <v>9</v>
      </c>
    </row>
    <row r="6" spans="1:3" x14ac:dyDescent="0.35">
      <c r="A6" s="2" t="s">
        <v>11</v>
      </c>
      <c r="B6" s="2" t="s">
        <v>12</v>
      </c>
      <c r="C6" s="3" t="s">
        <v>11</v>
      </c>
    </row>
    <row r="7" spans="1:3" x14ac:dyDescent="0.35">
      <c r="A7" s="2" t="s">
        <v>335</v>
      </c>
      <c r="B7" s="2" t="s">
        <v>336</v>
      </c>
      <c r="C7" s="3" t="s">
        <v>335</v>
      </c>
    </row>
    <row r="8" spans="1:3" x14ac:dyDescent="0.35">
      <c r="A8" s="2" t="s">
        <v>337</v>
      </c>
      <c r="B8" s="2" t="s">
        <v>338</v>
      </c>
      <c r="C8" s="3" t="s">
        <v>337</v>
      </c>
    </row>
    <row r="9" spans="1:3" x14ac:dyDescent="0.35">
      <c r="A9" s="2" t="s">
        <v>13</v>
      </c>
      <c r="B9" s="2" t="s">
        <v>14</v>
      </c>
      <c r="C9" s="3" t="s">
        <v>13</v>
      </c>
    </row>
    <row r="10" spans="1:3" x14ac:dyDescent="0.35">
      <c r="A10" s="2" t="s">
        <v>15</v>
      </c>
      <c r="B10" s="2" t="s">
        <v>16</v>
      </c>
      <c r="C10" s="3" t="s">
        <v>15</v>
      </c>
    </row>
    <row r="11" spans="1:3" x14ac:dyDescent="0.35">
      <c r="A11" s="2" t="s">
        <v>17</v>
      </c>
      <c r="B11" s="2" t="s">
        <v>18</v>
      </c>
      <c r="C11" s="3" t="s">
        <v>17</v>
      </c>
    </row>
    <row r="12" spans="1:3" x14ac:dyDescent="0.35">
      <c r="A12" s="2" t="s">
        <v>19</v>
      </c>
      <c r="B12" s="2" t="s">
        <v>20</v>
      </c>
      <c r="C12" s="3" t="s">
        <v>19</v>
      </c>
    </row>
    <row r="13" spans="1:3" x14ac:dyDescent="0.35">
      <c r="A13" s="2" t="s">
        <v>21</v>
      </c>
      <c r="B13" s="2" t="s">
        <v>22</v>
      </c>
      <c r="C13" s="3" t="s">
        <v>21</v>
      </c>
    </row>
    <row r="14" spans="1:3" x14ac:dyDescent="0.35">
      <c r="A14" s="2" t="s">
        <v>23</v>
      </c>
      <c r="B14" s="2" t="s">
        <v>24</v>
      </c>
      <c r="C14" s="3" t="s">
        <v>23</v>
      </c>
    </row>
    <row r="15" spans="1:3" x14ac:dyDescent="0.35">
      <c r="A15" s="2" t="s">
        <v>25</v>
      </c>
      <c r="B15" s="2" t="s">
        <v>26</v>
      </c>
      <c r="C15" s="3"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AK40"/>
  <sheetViews>
    <sheetView workbookViewId="0">
      <selection sqref="A1:V1048576"/>
    </sheetView>
  </sheetViews>
  <sheetFormatPr defaultRowHeight="14.5" x14ac:dyDescent="0.35"/>
  <cols>
    <col min="1" max="1" width="94.81640625" style="15" customWidth="1"/>
    <col min="2" max="2" width="30.26953125" style="15" customWidth="1"/>
    <col min="3" max="3" width="20.453125" style="15" customWidth="1"/>
    <col min="4" max="4" width="13.81640625" style="15" customWidth="1"/>
    <col min="5" max="5" width="10.54296875" style="15" customWidth="1"/>
    <col min="6" max="6" width="3.81640625" style="15" customWidth="1"/>
    <col min="7" max="12" width="9.453125" style="15" customWidth="1"/>
    <col min="13" max="22" width="8.7265625" style="15"/>
  </cols>
  <sheetData>
    <row r="1" spans="1:37" x14ac:dyDescent="0.35">
      <c r="A1" s="14" t="s">
        <v>27</v>
      </c>
      <c r="B1" s="14" t="s">
        <v>28</v>
      </c>
      <c r="C1" s="14" t="s">
        <v>29</v>
      </c>
      <c r="D1" s="14" t="s">
        <v>30</v>
      </c>
      <c r="E1" s="14" t="s">
        <v>31</v>
      </c>
      <c r="F1" s="14"/>
      <c r="G1" s="14">
        <v>2020</v>
      </c>
      <c r="H1" s="14">
        <v>2021</v>
      </c>
      <c r="I1" s="14">
        <v>2022</v>
      </c>
      <c r="J1" s="14">
        <v>2023</v>
      </c>
      <c r="K1" s="14">
        <v>2024</v>
      </c>
      <c r="L1" s="14">
        <v>2025</v>
      </c>
      <c r="M1" s="14">
        <v>2026</v>
      </c>
      <c r="N1" s="14">
        <v>2027</v>
      </c>
      <c r="O1" s="14">
        <v>2028</v>
      </c>
      <c r="P1" s="14">
        <v>2029</v>
      </c>
      <c r="Q1" s="14">
        <v>2030</v>
      </c>
      <c r="R1" s="14">
        <v>2031</v>
      </c>
      <c r="S1" s="14">
        <v>2032</v>
      </c>
      <c r="T1" s="14">
        <v>2033</v>
      </c>
      <c r="U1" s="14">
        <v>2034</v>
      </c>
      <c r="V1" s="14">
        <v>2035</v>
      </c>
      <c r="W1" s="14">
        <v>2036</v>
      </c>
      <c r="X1" s="14">
        <v>2037</v>
      </c>
      <c r="Y1" s="14">
        <v>2038</v>
      </c>
      <c r="Z1" s="14">
        <v>2039</v>
      </c>
      <c r="AA1" s="14">
        <v>2040</v>
      </c>
      <c r="AB1" s="14">
        <v>2041</v>
      </c>
      <c r="AC1" s="14">
        <v>2042</v>
      </c>
      <c r="AD1" s="14">
        <v>2043</v>
      </c>
      <c r="AE1" s="14">
        <v>2044</v>
      </c>
      <c r="AF1" s="14">
        <v>2045</v>
      </c>
      <c r="AG1" s="14">
        <v>2046</v>
      </c>
      <c r="AH1" s="14">
        <v>2047</v>
      </c>
      <c r="AI1" s="14">
        <v>2048</v>
      </c>
      <c r="AJ1" s="14">
        <v>2049</v>
      </c>
      <c r="AK1" s="14">
        <v>2050</v>
      </c>
    </row>
    <row r="2" spans="1:37" x14ac:dyDescent="0.35">
      <c r="A2" s="14" t="str">
        <f>'Population Definitions'!$A$2</f>
        <v>anc_hm</v>
      </c>
      <c r="B2" s="15" t="s">
        <v>32</v>
      </c>
      <c r="C2" s="15" t="s">
        <v>33</v>
      </c>
      <c r="D2" s="16"/>
      <c r="E2" s="15">
        <v>35847025.818999998</v>
      </c>
      <c r="F2" s="17" t="s">
        <v>34</v>
      </c>
      <c r="W2" s="15"/>
      <c r="X2" s="15"/>
      <c r="Y2" s="15"/>
      <c r="Z2" s="15"/>
      <c r="AA2" s="15"/>
      <c r="AB2" s="15"/>
      <c r="AC2" s="15"/>
      <c r="AD2" s="15"/>
      <c r="AE2" s="15"/>
      <c r="AF2" s="15"/>
      <c r="AG2" s="15"/>
      <c r="AH2" s="15"/>
      <c r="AI2" s="15"/>
      <c r="AJ2" s="15"/>
      <c r="AK2" s="15"/>
    </row>
    <row r="3" spans="1:37" x14ac:dyDescent="0.35">
      <c r="A3" s="15" t="s">
        <v>290</v>
      </c>
      <c r="G3" s="15">
        <v>35847025.818999998</v>
      </c>
      <c r="H3" s="15">
        <v>35337491.420000002</v>
      </c>
      <c r="I3" s="15">
        <v>34884079.351000004</v>
      </c>
      <c r="J3" s="15">
        <v>34429389.280000001</v>
      </c>
      <c r="K3" s="15">
        <v>33889660.112000003</v>
      </c>
      <c r="L3" s="15">
        <v>33312423.958000004</v>
      </c>
      <c r="M3" s="15">
        <v>32731697.063999999</v>
      </c>
      <c r="N3" s="15">
        <v>32184866.494000003</v>
      </c>
      <c r="O3" s="15">
        <v>31673683.844000001</v>
      </c>
      <c r="P3" s="15">
        <v>31147745.287999999</v>
      </c>
      <c r="Q3" s="15">
        <v>30616658.776000004</v>
      </c>
      <c r="R3" s="15">
        <v>30090575.592</v>
      </c>
      <c r="S3" s="15">
        <v>29576645.537999999</v>
      </c>
      <c r="T3" s="15">
        <v>29096463.000000004</v>
      </c>
      <c r="U3" s="15">
        <v>28630814.784000006</v>
      </c>
      <c r="V3" s="15">
        <v>28167226.483000003</v>
      </c>
      <c r="W3" s="15">
        <v>27693144.952000003</v>
      </c>
      <c r="X3" s="15">
        <v>27188956.938000001</v>
      </c>
      <c r="Y3" s="15">
        <v>26702319.435000002</v>
      </c>
      <c r="Z3" s="15">
        <v>26230794.975000001</v>
      </c>
      <c r="AA3" s="15">
        <v>25770932.759000003</v>
      </c>
      <c r="AB3" s="15">
        <v>25317305.354000002</v>
      </c>
      <c r="AC3" s="15">
        <v>24862652.067000002</v>
      </c>
      <c r="AD3" s="15">
        <v>24413545.651000001</v>
      </c>
      <c r="AE3" s="15">
        <v>23961927.495000001</v>
      </c>
      <c r="AF3" s="15">
        <v>23518619.443</v>
      </c>
      <c r="AG3" s="15">
        <v>23097138.966000002</v>
      </c>
      <c r="AH3" s="15">
        <v>22715686.510000002</v>
      </c>
      <c r="AI3" s="15">
        <v>22344366.033000004</v>
      </c>
      <c r="AJ3" s="15">
        <v>21974020.739</v>
      </c>
      <c r="AK3" s="15">
        <v>21610495.357000005</v>
      </c>
    </row>
    <row r="5" spans="1:37" x14ac:dyDescent="0.35">
      <c r="A5" s="14" t="s">
        <v>206</v>
      </c>
      <c r="B5" s="14" t="s">
        <v>28</v>
      </c>
      <c r="C5" s="14" t="s">
        <v>29</v>
      </c>
      <c r="D5" s="14" t="s">
        <v>30</v>
      </c>
      <c r="E5" s="14" t="s">
        <v>31</v>
      </c>
      <c r="F5" s="14"/>
      <c r="G5" s="14">
        <v>2020</v>
      </c>
      <c r="H5" s="14">
        <v>2021</v>
      </c>
      <c r="I5" s="14">
        <v>2022</v>
      </c>
      <c r="J5" s="14">
        <v>2023</v>
      </c>
      <c r="K5" s="14">
        <v>2024</v>
      </c>
      <c r="L5" s="14">
        <v>2025</v>
      </c>
    </row>
    <row r="6" spans="1:37" x14ac:dyDescent="0.35">
      <c r="A6" s="14" t="str">
        <f>'[1]Population Definitions'!$A$2</f>
        <v>anc_hm</v>
      </c>
      <c r="B6" s="15" t="s">
        <v>32</v>
      </c>
      <c r="C6" s="15" t="s">
        <v>36</v>
      </c>
      <c r="D6" s="16"/>
      <c r="E6" s="16">
        <v>1.58697E-2</v>
      </c>
      <c r="F6" s="17" t="s">
        <v>34</v>
      </c>
      <c r="G6" s="18"/>
      <c r="H6" s="16"/>
      <c r="I6" s="16"/>
      <c r="J6" s="16"/>
      <c r="K6" s="16"/>
      <c r="L6" s="16"/>
    </row>
    <row r="8" spans="1:37" x14ac:dyDescent="0.35">
      <c r="A8" s="14" t="s">
        <v>244</v>
      </c>
      <c r="B8" s="14" t="s">
        <v>28</v>
      </c>
      <c r="C8" s="14" t="s">
        <v>29</v>
      </c>
      <c r="D8" s="14" t="s">
        <v>30</v>
      </c>
      <c r="E8" s="14" t="s">
        <v>31</v>
      </c>
      <c r="F8" s="14"/>
      <c r="G8" s="14">
        <v>2020</v>
      </c>
      <c r="H8" s="14">
        <v>2021</v>
      </c>
      <c r="I8" s="14">
        <v>2022</v>
      </c>
      <c r="J8" s="14">
        <v>2023</v>
      </c>
      <c r="K8" s="14">
        <v>2024</v>
      </c>
      <c r="L8" s="14">
        <v>2025</v>
      </c>
    </row>
    <row r="9" spans="1:37" x14ac:dyDescent="0.35">
      <c r="A9" s="14" t="str">
        <f>'[2]Population Definitions'!$A$2</f>
        <v>anc_hm</v>
      </c>
      <c r="B9" s="15" t="s">
        <v>369</v>
      </c>
      <c r="C9" s="15" t="s">
        <v>64</v>
      </c>
      <c r="D9" s="16"/>
      <c r="E9" s="16">
        <v>85.6</v>
      </c>
      <c r="F9" s="17" t="s">
        <v>34</v>
      </c>
      <c r="G9" s="16"/>
      <c r="H9" s="16"/>
      <c r="I9" s="16"/>
      <c r="J9" s="16"/>
      <c r="K9" s="16"/>
      <c r="L9" s="16"/>
    </row>
    <row r="11" spans="1:37" x14ac:dyDescent="0.35">
      <c r="A11" s="14" t="s">
        <v>245</v>
      </c>
      <c r="B11" s="14" t="s">
        <v>28</v>
      </c>
      <c r="C11" s="14" t="s">
        <v>29</v>
      </c>
      <c r="D11" s="14" t="s">
        <v>30</v>
      </c>
      <c r="E11" s="14" t="s">
        <v>31</v>
      </c>
      <c r="F11" s="14"/>
      <c r="G11" s="14">
        <v>2020</v>
      </c>
      <c r="H11" s="14">
        <v>2021</v>
      </c>
      <c r="I11" s="14">
        <v>2022</v>
      </c>
      <c r="J11" s="14">
        <v>2023</v>
      </c>
      <c r="K11" s="14">
        <v>2024</v>
      </c>
      <c r="L11" s="14">
        <v>2025</v>
      </c>
    </row>
    <row r="12" spans="1:37" x14ac:dyDescent="0.35">
      <c r="A12" s="14" t="str">
        <f>'[2]Population Definitions'!$A$2</f>
        <v>anc_hm</v>
      </c>
      <c r="B12" s="15" t="s">
        <v>370</v>
      </c>
      <c r="C12" s="15" t="s">
        <v>64</v>
      </c>
      <c r="D12" s="16"/>
      <c r="E12" s="16">
        <v>28</v>
      </c>
      <c r="F12" s="17" t="s">
        <v>34</v>
      </c>
      <c r="G12" s="16"/>
      <c r="H12" s="16"/>
      <c r="I12" s="16"/>
      <c r="J12" s="16"/>
      <c r="K12" s="16"/>
      <c r="L12" s="16"/>
    </row>
    <row r="14" spans="1:37" x14ac:dyDescent="0.35">
      <c r="A14" s="14" t="s">
        <v>35</v>
      </c>
      <c r="B14" s="14" t="s">
        <v>28</v>
      </c>
      <c r="C14" s="14" t="s">
        <v>29</v>
      </c>
      <c r="D14" s="14" t="s">
        <v>30</v>
      </c>
      <c r="E14" s="14" t="s">
        <v>31</v>
      </c>
      <c r="F14" s="14"/>
      <c r="G14" s="14">
        <v>2020</v>
      </c>
      <c r="H14" s="14">
        <v>2021</v>
      </c>
      <c r="I14" s="14">
        <v>2022</v>
      </c>
      <c r="J14" s="14">
        <v>2023</v>
      </c>
      <c r="K14" s="14">
        <v>2024</v>
      </c>
      <c r="L14" s="14">
        <v>2025</v>
      </c>
    </row>
    <row r="15" spans="1:37" x14ac:dyDescent="0.35">
      <c r="A15" s="14" t="str">
        <f>'Population Definitions'!$A$2</f>
        <v>anc_hm</v>
      </c>
      <c r="B15" s="15" t="s">
        <v>32</v>
      </c>
      <c r="C15" s="15" t="s">
        <v>36</v>
      </c>
      <c r="D15" s="16"/>
      <c r="E15" s="16">
        <v>0.95</v>
      </c>
      <c r="F15" s="17" t="s">
        <v>34</v>
      </c>
      <c r="G15" s="16"/>
      <c r="H15" s="16"/>
      <c r="I15" s="16"/>
      <c r="J15" s="16"/>
      <c r="K15" s="16"/>
      <c r="L15" s="16"/>
    </row>
    <row r="17" spans="1:37" x14ac:dyDescent="0.35">
      <c r="A17" s="14" t="s">
        <v>37</v>
      </c>
      <c r="B17" s="14" t="s">
        <v>28</v>
      </c>
      <c r="C17" s="14" t="s">
        <v>29</v>
      </c>
      <c r="D17" s="14" t="s">
        <v>30</v>
      </c>
      <c r="E17" s="14" t="s">
        <v>31</v>
      </c>
      <c r="F17" s="14"/>
      <c r="G17" s="14">
        <v>2020</v>
      </c>
      <c r="H17" s="14">
        <v>2021</v>
      </c>
      <c r="I17" s="14">
        <v>2022</v>
      </c>
      <c r="J17" s="14">
        <v>2023</v>
      </c>
      <c r="K17" s="14">
        <v>2024</v>
      </c>
      <c r="L17" s="14">
        <v>2025</v>
      </c>
    </row>
    <row r="18" spans="1:37" x14ac:dyDescent="0.35">
      <c r="A18" s="14" t="str">
        <f>'Population Definitions'!$A$2</f>
        <v>anc_hm</v>
      </c>
      <c r="B18" s="15" t="s">
        <v>32</v>
      </c>
      <c r="C18" s="15" t="s">
        <v>36</v>
      </c>
      <c r="D18" s="16"/>
      <c r="E18" s="16"/>
      <c r="F18" s="17" t="s">
        <v>34</v>
      </c>
      <c r="G18" s="15">
        <v>0.55698012500000005</v>
      </c>
      <c r="H18" s="15">
        <v>0.56812047200000004</v>
      </c>
      <c r="I18" s="15">
        <v>0.57904949800000005</v>
      </c>
      <c r="J18" s="15">
        <v>0.58975165699999998</v>
      </c>
      <c r="K18" s="15">
        <v>0.6</v>
      </c>
      <c r="L18" s="15">
        <v>0.611660647</v>
      </c>
      <c r="M18" s="15">
        <v>0.62202708500000004</v>
      </c>
      <c r="N18" s="15">
        <v>0.63260793900000001</v>
      </c>
      <c r="O18" s="15">
        <v>0.64343611199999995</v>
      </c>
      <c r="P18" s="15">
        <v>0.65452030699999997</v>
      </c>
      <c r="Q18" s="15">
        <v>0.66616065300000005</v>
      </c>
      <c r="R18" s="15">
        <v>0.67604001300000005</v>
      </c>
      <c r="S18" s="15">
        <v>0.68542607700000002</v>
      </c>
      <c r="T18" s="15">
        <v>0.69431129400000002</v>
      </c>
      <c r="U18" s="15">
        <v>0.70273964200000005</v>
      </c>
      <c r="V18" s="15">
        <v>0.71147241500000002</v>
      </c>
      <c r="W18">
        <v>0.71878642100000001</v>
      </c>
      <c r="X18">
        <v>0.72568950099999996</v>
      </c>
      <c r="Y18">
        <v>0.73226099300000003</v>
      </c>
      <c r="Z18">
        <v>0.73853714500000001</v>
      </c>
      <c r="AA18">
        <v>0.74516775599999996</v>
      </c>
      <c r="AB18">
        <v>0.75073851700000005</v>
      </c>
      <c r="AC18">
        <v>0.75609847399999996</v>
      </c>
      <c r="AD18">
        <v>0.76127757200000001</v>
      </c>
      <c r="AE18">
        <v>0.76631481999999995</v>
      </c>
      <c r="AF18">
        <v>0.77177702599999998</v>
      </c>
      <c r="AG18">
        <v>0.77645453900000005</v>
      </c>
      <c r="AH18">
        <v>0.78101835900000005</v>
      </c>
      <c r="AI18">
        <v>0.785478024</v>
      </c>
      <c r="AJ18">
        <v>0.78984282299999997</v>
      </c>
      <c r="AK18">
        <v>0.79462863399999994</v>
      </c>
    </row>
    <row r="20" spans="1:37" x14ac:dyDescent="0.35">
      <c r="A20" s="14" t="s">
        <v>38</v>
      </c>
      <c r="B20" s="14" t="s">
        <v>28</v>
      </c>
      <c r="C20" s="14" t="s">
        <v>29</v>
      </c>
      <c r="D20" s="14" t="s">
        <v>30</v>
      </c>
      <c r="E20" s="14" t="s">
        <v>31</v>
      </c>
      <c r="F20" s="14"/>
      <c r="G20" s="14">
        <v>2020</v>
      </c>
      <c r="H20" s="14">
        <v>2021</v>
      </c>
      <c r="I20" s="14">
        <v>2022</v>
      </c>
      <c r="J20" s="14">
        <v>2023</v>
      </c>
      <c r="K20" s="14">
        <v>2024</v>
      </c>
      <c r="L20" s="14">
        <v>2025</v>
      </c>
      <c r="M20" s="14">
        <v>2026</v>
      </c>
      <c r="N20" s="14">
        <v>2027</v>
      </c>
      <c r="O20" s="14">
        <v>2028</v>
      </c>
      <c r="P20" s="14">
        <v>2029</v>
      </c>
      <c r="Q20" s="14">
        <v>2030</v>
      </c>
      <c r="R20" s="14">
        <v>2031</v>
      </c>
      <c r="S20" s="14">
        <v>2032</v>
      </c>
      <c r="T20" s="14">
        <v>2033</v>
      </c>
      <c r="U20" s="14">
        <v>2034</v>
      </c>
      <c r="V20" s="14">
        <v>2035</v>
      </c>
      <c r="W20" s="1">
        <v>2036</v>
      </c>
      <c r="X20" s="1">
        <v>2037</v>
      </c>
      <c r="Y20" s="1">
        <v>2038</v>
      </c>
      <c r="Z20" s="1">
        <v>2039</v>
      </c>
      <c r="AA20" s="1">
        <v>2040</v>
      </c>
      <c r="AB20" s="1">
        <v>2041</v>
      </c>
      <c r="AC20" s="1">
        <v>2042</v>
      </c>
      <c r="AD20" s="1">
        <v>2043</v>
      </c>
      <c r="AE20" s="1">
        <v>2044</v>
      </c>
      <c r="AF20" s="1">
        <v>2045</v>
      </c>
      <c r="AG20" s="1">
        <v>2046</v>
      </c>
      <c r="AH20" s="1">
        <v>2047</v>
      </c>
      <c r="AI20" s="1">
        <v>2048</v>
      </c>
      <c r="AJ20" s="1">
        <v>2049</v>
      </c>
      <c r="AK20" s="1">
        <v>2050</v>
      </c>
    </row>
    <row r="21" spans="1:37" x14ac:dyDescent="0.35">
      <c r="A21" s="14" t="str">
        <f>'Population Definitions'!$A$2</f>
        <v>anc_hm</v>
      </c>
      <c r="B21" s="15" t="s">
        <v>32</v>
      </c>
      <c r="C21" s="15" t="s">
        <v>36</v>
      </c>
      <c r="D21" s="16"/>
      <c r="E21" s="16"/>
      <c r="F21" s="17" t="s">
        <v>34</v>
      </c>
      <c r="G21" s="15">
        <v>0.88176636200000003</v>
      </c>
      <c r="H21" s="15">
        <v>0.88756148199999996</v>
      </c>
      <c r="I21" s="15">
        <v>0.89304341899999995</v>
      </c>
      <c r="J21" s="15">
        <v>0.89820475</v>
      </c>
      <c r="K21" s="15">
        <v>0.90299327399999996</v>
      </c>
      <c r="L21" s="15">
        <v>0.90824041200000005</v>
      </c>
      <c r="M21" s="15">
        <v>0.91274809700000004</v>
      </c>
      <c r="N21" s="15">
        <v>0.91719641100000004</v>
      </c>
      <c r="O21" s="15">
        <v>0.92159671700000001</v>
      </c>
      <c r="P21" s="15">
        <v>0.92594804799999997</v>
      </c>
      <c r="Q21" s="15">
        <v>0.930340422</v>
      </c>
      <c r="R21" s="15">
        <v>0.933943207</v>
      </c>
      <c r="S21" s="15">
        <v>0.93725676300000005</v>
      </c>
      <c r="T21" s="15">
        <v>0.94029701200000004</v>
      </c>
      <c r="U21" s="15">
        <v>0.94309522800000001</v>
      </c>
      <c r="V21" s="15">
        <v>0.94590886200000002</v>
      </c>
      <c r="W21">
        <v>0.94820444299999995</v>
      </c>
      <c r="X21">
        <v>0.95031653299999996</v>
      </c>
      <c r="Y21">
        <v>0.95227884299999999</v>
      </c>
      <c r="Z21">
        <v>0.95410944799999997</v>
      </c>
      <c r="AA21">
        <v>0.95600201100000004</v>
      </c>
      <c r="AB21">
        <v>0.95756181799999995</v>
      </c>
      <c r="AC21">
        <v>0.95903272799999995</v>
      </c>
      <c r="AD21">
        <v>0.960426369</v>
      </c>
      <c r="AE21">
        <v>0.96175613599999998</v>
      </c>
      <c r="AF21">
        <v>0.96316513599999998</v>
      </c>
      <c r="AG21">
        <v>0.96435180300000001</v>
      </c>
      <c r="AH21">
        <v>0.96548898299999997</v>
      </c>
      <c r="AI21">
        <v>0.96658097399999998</v>
      </c>
      <c r="AJ21">
        <v>0.96763187500000003</v>
      </c>
      <c r="AK21">
        <v>0.96875530200000004</v>
      </c>
    </row>
    <row r="23" spans="1:37" x14ac:dyDescent="0.35">
      <c r="A23" s="14" t="s">
        <v>39</v>
      </c>
      <c r="B23" s="14" t="s">
        <v>28</v>
      </c>
      <c r="C23" s="14" t="s">
        <v>29</v>
      </c>
      <c r="D23" s="14" t="s">
        <v>30</v>
      </c>
      <c r="E23" s="14" t="s">
        <v>31</v>
      </c>
      <c r="F23" s="14"/>
      <c r="G23" s="14">
        <v>2020</v>
      </c>
      <c r="H23" s="14">
        <v>2021</v>
      </c>
      <c r="I23" s="14">
        <v>2022</v>
      </c>
      <c r="J23" s="14">
        <v>2023</v>
      </c>
      <c r="K23" s="14">
        <v>2024</v>
      </c>
      <c r="L23" s="14">
        <v>2025</v>
      </c>
      <c r="M23" s="14">
        <v>2026</v>
      </c>
      <c r="N23" s="14">
        <v>2027</v>
      </c>
      <c r="O23" s="14">
        <v>2028</v>
      </c>
      <c r="P23" s="14">
        <v>2029</v>
      </c>
      <c r="Q23" s="14">
        <v>2030</v>
      </c>
      <c r="R23" s="14">
        <v>2031</v>
      </c>
      <c r="S23" s="14">
        <v>2032</v>
      </c>
      <c r="T23" s="14">
        <v>2033</v>
      </c>
      <c r="U23" s="14">
        <v>2034</v>
      </c>
      <c r="V23" s="14">
        <v>2035</v>
      </c>
      <c r="W23" s="1">
        <v>2036</v>
      </c>
      <c r="X23" s="1">
        <v>2037</v>
      </c>
      <c r="Y23" s="1">
        <v>2038</v>
      </c>
      <c r="Z23" s="1">
        <v>2039</v>
      </c>
      <c r="AA23" s="1">
        <v>2040</v>
      </c>
      <c r="AB23" s="1">
        <v>2041</v>
      </c>
      <c r="AC23" s="1">
        <v>2042</v>
      </c>
      <c r="AD23" s="1">
        <v>2043</v>
      </c>
      <c r="AE23" s="1">
        <v>2044</v>
      </c>
      <c r="AF23" s="1">
        <v>2045</v>
      </c>
      <c r="AG23" s="1">
        <v>2046</v>
      </c>
      <c r="AH23" s="1">
        <v>2047</v>
      </c>
      <c r="AI23" s="1">
        <v>2048</v>
      </c>
      <c r="AJ23" s="1">
        <v>2049</v>
      </c>
      <c r="AK23" s="1">
        <v>2050</v>
      </c>
    </row>
    <row r="24" spans="1:37" x14ac:dyDescent="0.35">
      <c r="A24" s="14" t="str">
        <f>'Population Definitions'!$A$2</f>
        <v>anc_hm</v>
      </c>
      <c r="B24" s="15" t="s">
        <v>32</v>
      </c>
      <c r="C24" s="15" t="s">
        <v>36</v>
      </c>
      <c r="D24" s="16"/>
      <c r="E24" s="16"/>
      <c r="F24" s="17" t="s">
        <v>34</v>
      </c>
      <c r="G24" s="15">
        <v>0.90777728499999999</v>
      </c>
      <c r="H24" s="15">
        <v>0.91284733200000001</v>
      </c>
      <c r="I24" s="15">
        <v>0.91766387000000005</v>
      </c>
      <c r="J24" s="15">
        <v>0.92219500200000004</v>
      </c>
      <c r="K24" s="15">
        <v>0.92637981400000002</v>
      </c>
      <c r="L24" s="15">
        <v>0.93093194199999996</v>
      </c>
      <c r="M24" s="15">
        <v>0.93483366099999998</v>
      </c>
      <c r="N24" s="15">
        <v>0.93866358100000002</v>
      </c>
      <c r="O24" s="15">
        <v>0.94243143799999995</v>
      </c>
      <c r="P24" s="15">
        <v>0.946135646</v>
      </c>
      <c r="Q24" s="15">
        <v>0.949841186</v>
      </c>
      <c r="R24" s="15">
        <v>0.95286937800000004</v>
      </c>
      <c r="S24" s="15">
        <v>0.95563790100000001</v>
      </c>
      <c r="T24" s="15">
        <v>0.95816274099999998</v>
      </c>
      <c r="U24" s="15">
        <v>0.96047281299999998</v>
      </c>
      <c r="V24" s="15">
        <v>0.96277283000000002</v>
      </c>
      <c r="W24">
        <v>0.96464450899999998</v>
      </c>
      <c r="X24">
        <v>0.96635813100000001</v>
      </c>
      <c r="Y24">
        <v>0.96794261100000001</v>
      </c>
      <c r="Z24">
        <v>0.96941482099999998</v>
      </c>
      <c r="AA24">
        <v>0.97091930999999998</v>
      </c>
      <c r="AB24">
        <v>0.97215783600000005</v>
      </c>
      <c r="AC24">
        <v>0.97332136199999997</v>
      </c>
      <c r="AD24">
        <v>0.97441935300000004</v>
      </c>
      <c r="AE24">
        <v>0.97546294700000002</v>
      </c>
      <c r="AF24">
        <v>0.97655608199999999</v>
      </c>
      <c r="AG24">
        <v>0.97747483899999998</v>
      </c>
      <c r="AH24">
        <v>0.97835140300000001</v>
      </c>
      <c r="AI24">
        <v>0.97918941400000004</v>
      </c>
      <c r="AJ24">
        <v>0.97999178200000003</v>
      </c>
      <c r="AK24">
        <v>0.98084281299999998</v>
      </c>
    </row>
    <row r="26" spans="1:37" x14ac:dyDescent="0.35">
      <c r="A26" s="14" t="s">
        <v>40</v>
      </c>
      <c r="B26" s="14" t="s">
        <v>28</v>
      </c>
      <c r="C26" s="14" t="s">
        <v>29</v>
      </c>
      <c r="D26" s="14" t="s">
        <v>30</v>
      </c>
      <c r="E26" s="14" t="s">
        <v>31</v>
      </c>
      <c r="F26" s="14"/>
      <c r="G26" s="14">
        <v>2020</v>
      </c>
      <c r="H26" s="14">
        <v>2021</v>
      </c>
      <c r="I26" s="14">
        <v>2022</v>
      </c>
      <c r="J26" s="14">
        <v>2023</v>
      </c>
      <c r="K26" s="14">
        <v>2024</v>
      </c>
      <c r="L26" s="14">
        <v>2025</v>
      </c>
    </row>
    <row r="27" spans="1:37" x14ac:dyDescent="0.35">
      <c r="A27" s="14" t="str">
        <f>'Population Definitions'!$A$2</f>
        <v>anc_hm</v>
      </c>
      <c r="B27" s="15" t="s">
        <v>32</v>
      </c>
      <c r="C27" s="15" t="s">
        <v>36</v>
      </c>
      <c r="D27" s="16"/>
      <c r="E27" s="19">
        <v>2.2499999999999999E-2</v>
      </c>
      <c r="F27" s="17" t="s">
        <v>34</v>
      </c>
      <c r="G27" s="16"/>
      <c r="H27" s="16"/>
      <c r="I27" s="16"/>
      <c r="J27" s="16"/>
      <c r="K27" s="16"/>
      <c r="L27" s="16"/>
    </row>
    <row r="29" spans="1:37" x14ac:dyDescent="0.35">
      <c r="A29" s="14" t="s">
        <v>41</v>
      </c>
      <c r="B29" s="14" t="s">
        <v>28</v>
      </c>
      <c r="C29" s="14" t="s">
        <v>29</v>
      </c>
      <c r="D29" s="14" t="s">
        <v>30</v>
      </c>
      <c r="E29" s="14" t="s">
        <v>31</v>
      </c>
      <c r="F29" s="14"/>
      <c r="G29" s="14">
        <v>2020</v>
      </c>
      <c r="H29" s="14">
        <v>2021</v>
      </c>
      <c r="I29" s="14">
        <v>2022</v>
      </c>
      <c r="J29" s="14">
        <v>2023</v>
      </c>
      <c r="K29" s="14">
        <v>2024</v>
      </c>
      <c r="L29" s="14">
        <v>2025</v>
      </c>
    </row>
    <row r="30" spans="1:37" x14ac:dyDescent="0.35">
      <c r="A30" s="14" t="str">
        <f>'Population Definitions'!$A$2</f>
        <v>anc_hm</v>
      </c>
      <c r="B30" s="15" t="s">
        <v>32</v>
      </c>
      <c r="C30" s="15" t="s">
        <v>36</v>
      </c>
      <c r="D30" s="16"/>
      <c r="E30" s="19">
        <v>2.2499999999999999E-2</v>
      </c>
      <c r="F30" s="17" t="s">
        <v>34</v>
      </c>
      <c r="G30" s="16"/>
      <c r="H30" s="16"/>
      <c r="I30" s="16"/>
      <c r="J30" s="16"/>
      <c r="K30" s="16"/>
      <c r="L30" s="16"/>
    </row>
    <row r="32" spans="1:37" x14ac:dyDescent="0.35">
      <c r="A32" s="14" t="s">
        <v>42</v>
      </c>
      <c r="B32" s="14" t="s">
        <v>28</v>
      </c>
      <c r="C32" s="14" t="s">
        <v>29</v>
      </c>
      <c r="D32" s="14" t="s">
        <v>30</v>
      </c>
      <c r="E32" s="14" t="s">
        <v>31</v>
      </c>
      <c r="F32" s="14"/>
      <c r="G32" s="14">
        <v>2020</v>
      </c>
      <c r="H32" s="14">
        <v>2021</v>
      </c>
      <c r="I32" s="14">
        <v>2022</v>
      </c>
      <c r="J32" s="14">
        <v>2023</v>
      </c>
      <c r="K32" s="14">
        <v>2024</v>
      </c>
      <c r="L32" s="14">
        <v>2025</v>
      </c>
    </row>
    <row r="33" spans="1:37" x14ac:dyDescent="0.35">
      <c r="A33" s="14" t="str">
        <f>'Population Definitions'!$A$2</f>
        <v>anc_hm</v>
      </c>
      <c r="B33" s="15" t="s">
        <v>32</v>
      </c>
      <c r="C33" s="15" t="s">
        <v>36</v>
      </c>
      <c r="D33" s="16"/>
      <c r="E33" s="19">
        <v>3.3000000000000002E-2</v>
      </c>
      <c r="F33" s="17" t="s">
        <v>34</v>
      </c>
      <c r="G33" s="16"/>
      <c r="H33" s="16"/>
      <c r="I33" s="16"/>
      <c r="J33" s="16"/>
      <c r="K33" s="16"/>
      <c r="L33" s="16"/>
    </row>
    <row r="35" spans="1:37" x14ac:dyDescent="0.35">
      <c r="A35" s="14" t="s">
        <v>207</v>
      </c>
      <c r="B35" s="14" t="s">
        <v>28</v>
      </c>
      <c r="C35" s="14" t="s">
        <v>29</v>
      </c>
      <c r="D35" s="14" t="s">
        <v>30</v>
      </c>
      <c r="E35" s="14" t="s">
        <v>31</v>
      </c>
      <c r="F35" s="14"/>
      <c r="G35" s="14">
        <v>2020</v>
      </c>
      <c r="H35" s="14">
        <v>2021</v>
      </c>
      <c r="I35" s="14">
        <v>2022</v>
      </c>
      <c r="J35" s="14">
        <v>2023</v>
      </c>
      <c r="K35" s="14">
        <v>2024</v>
      </c>
      <c r="L35" s="14">
        <v>2025</v>
      </c>
      <c r="M35" s="14">
        <v>2026</v>
      </c>
      <c r="N35" s="14">
        <v>2027</v>
      </c>
      <c r="O35" s="14">
        <v>2028</v>
      </c>
      <c r="P35" s="14">
        <v>2029</v>
      </c>
      <c r="Q35" s="14">
        <v>2030</v>
      </c>
      <c r="R35" s="14">
        <v>2031</v>
      </c>
      <c r="S35" s="14">
        <v>2032</v>
      </c>
      <c r="T35" s="14">
        <v>2033</v>
      </c>
      <c r="U35" s="14">
        <v>2034</v>
      </c>
      <c r="V35" s="14">
        <v>2035</v>
      </c>
      <c r="W35" s="1">
        <v>2036</v>
      </c>
      <c r="X35" s="1">
        <v>2037</v>
      </c>
      <c r="Y35" s="1">
        <v>2038</v>
      </c>
      <c r="Z35" s="1">
        <v>2039</v>
      </c>
      <c r="AA35" s="1">
        <v>2040</v>
      </c>
      <c r="AB35" s="1">
        <v>2041</v>
      </c>
      <c r="AC35" s="1">
        <v>2042</v>
      </c>
      <c r="AD35" s="1">
        <v>2043</v>
      </c>
      <c r="AE35" s="1">
        <v>2044</v>
      </c>
      <c r="AF35" s="1">
        <v>2045</v>
      </c>
      <c r="AG35" s="1">
        <v>2046</v>
      </c>
      <c r="AH35" s="1">
        <v>2047</v>
      </c>
      <c r="AI35" s="1">
        <v>2048</v>
      </c>
      <c r="AJ35" s="1">
        <v>2049</v>
      </c>
      <c r="AK35" s="1">
        <v>2050</v>
      </c>
    </row>
    <row r="36" spans="1:37" x14ac:dyDescent="0.35">
      <c r="A36" s="14" t="str">
        <f>'Population Definitions'!$A$2</f>
        <v>anc_hm</v>
      </c>
      <c r="B36" s="15" t="s">
        <v>32</v>
      </c>
      <c r="C36" s="15" t="s">
        <v>36</v>
      </c>
      <c r="D36" s="16"/>
      <c r="E36" s="16"/>
      <c r="F36" s="17" t="s">
        <v>34</v>
      </c>
      <c r="G36" s="15">
        <f>G37-0.1415</f>
        <v>0.68045567000000007</v>
      </c>
      <c r="H36" s="15">
        <f t="shared" ref="H36:AK36" si="0">H37-0.1415</f>
        <v>0.69044455000000005</v>
      </c>
      <c r="I36" s="15">
        <f t="shared" si="0"/>
        <v>0.69974223000000002</v>
      </c>
      <c r="J36" s="15">
        <f t="shared" si="0"/>
        <v>0.70849732500000007</v>
      </c>
      <c r="K36" s="15">
        <f t="shared" si="0"/>
        <v>0.71654427600000004</v>
      </c>
      <c r="L36" s="15">
        <f t="shared" si="0"/>
        <v>0.725566873</v>
      </c>
      <c r="M36" s="15">
        <f t="shared" si="0"/>
        <v>0.73316770600000003</v>
      </c>
      <c r="N36" s="15">
        <f t="shared" si="0"/>
        <v>0.74067309000000003</v>
      </c>
      <c r="O36" s="15">
        <f t="shared" si="0"/>
        <v>0.74808348499999999</v>
      </c>
      <c r="P36" s="15">
        <f t="shared" si="0"/>
        <v>0.75538524100000004</v>
      </c>
      <c r="Q36" s="15">
        <f t="shared" si="0"/>
        <v>0.762840725</v>
      </c>
      <c r="R36" s="15">
        <f t="shared" si="0"/>
        <v>0.76879568100000006</v>
      </c>
      <c r="S36" s="15">
        <f t="shared" si="0"/>
        <v>0.77423080900000008</v>
      </c>
      <c r="T36" s="15">
        <f t="shared" si="0"/>
        <v>0.77917919499999999</v>
      </c>
      <c r="U36" s="15">
        <f t="shared" si="0"/>
        <v>0.78370112300000006</v>
      </c>
      <c r="V36" s="15">
        <f t="shared" si="0"/>
        <v>0.78827974600000006</v>
      </c>
      <c r="W36">
        <f t="shared" si="0"/>
        <v>0.79189436600000007</v>
      </c>
      <c r="X36">
        <f t="shared" si="0"/>
        <v>0.79519405800000009</v>
      </c>
      <c r="Y36">
        <f t="shared" si="0"/>
        <v>0.79823771200000004</v>
      </c>
      <c r="Z36">
        <f t="shared" si="0"/>
        <v>0.80105716700000007</v>
      </c>
      <c r="AA36">
        <f t="shared" si="0"/>
        <v>0.80399617600000006</v>
      </c>
      <c r="AB36">
        <f t="shared" si="0"/>
        <v>0.80632456900000005</v>
      </c>
      <c r="AC36">
        <f t="shared" si="0"/>
        <v>0.80850613800000004</v>
      </c>
      <c r="AD36">
        <f t="shared" si="0"/>
        <v>0.81056118799999999</v>
      </c>
      <c r="AE36">
        <f t="shared" si="0"/>
        <v>0.81251200700000004</v>
      </c>
      <c r="AF36">
        <f t="shared" si="0"/>
        <v>0.81463238100000002</v>
      </c>
      <c r="AG36">
        <f t="shared" si="0"/>
        <v>0.81634990600000001</v>
      </c>
      <c r="AH36">
        <f t="shared" si="0"/>
        <v>0.81798915400000005</v>
      </c>
      <c r="AI36">
        <f t="shared" si="0"/>
        <v>0.819556917</v>
      </c>
      <c r="AJ36">
        <f t="shared" si="0"/>
        <v>0.82105898900000007</v>
      </c>
      <c r="AK36">
        <f t="shared" si="0"/>
        <v>0.82272654200000006</v>
      </c>
    </row>
    <row r="37" spans="1:37" x14ac:dyDescent="0.35">
      <c r="A37" s="14" t="s">
        <v>290</v>
      </c>
      <c r="F37" s="17"/>
      <c r="G37" s="15">
        <v>0.82195567000000003</v>
      </c>
      <c r="H37" s="15">
        <v>0.83194455</v>
      </c>
      <c r="I37" s="15">
        <v>0.84124222999999998</v>
      </c>
      <c r="J37" s="15">
        <v>0.84999732500000003</v>
      </c>
      <c r="K37" s="15">
        <v>0.85804427599999999</v>
      </c>
      <c r="L37" s="15">
        <v>0.86706687299999996</v>
      </c>
      <c r="M37" s="15">
        <v>0.87466770599999999</v>
      </c>
      <c r="N37" s="15">
        <v>0.88217308999999999</v>
      </c>
      <c r="O37" s="15">
        <v>0.88958348499999995</v>
      </c>
      <c r="P37" s="15">
        <v>0.896885241</v>
      </c>
      <c r="Q37" s="15">
        <v>0.90434072499999996</v>
      </c>
      <c r="R37" s="15">
        <v>0.91029568100000002</v>
      </c>
      <c r="S37" s="15">
        <v>0.91573080900000003</v>
      </c>
      <c r="T37" s="15">
        <v>0.92067919499999995</v>
      </c>
      <c r="U37" s="15">
        <v>0.92520112300000001</v>
      </c>
      <c r="V37" s="15">
        <v>0.92977974600000002</v>
      </c>
      <c r="W37">
        <v>0.93339436600000003</v>
      </c>
      <c r="X37">
        <v>0.93669405800000005</v>
      </c>
      <c r="Y37">
        <v>0.939737712</v>
      </c>
      <c r="Z37">
        <v>0.94255716700000003</v>
      </c>
      <c r="AA37">
        <v>0.94549617600000002</v>
      </c>
      <c r="AB37">
        <v>0.94782456900000001</v>
      </c>
      <c r="AC37">
        <v>0.950006138</v>
      </c>
      <c r="AD37">
        <v>0.95206118799999995</v>
      </c>
      <c r="AE37">
        <v>0.954012007</v>
      </c>
      <c r="AF37">
        <v>0.95613238099999998</v>
      </c>
      <c r="AG37">
        <v>0.95784990599999997</v>
      </c>
      <c r="AH37">
        <v>0.95948915400000001</v>
      </c>
      <c r="AI37">
        <v>0.96105691699999996</v>
      </c>
      <c r="AJ37">
        <v>0.96255898900000003</v>
      </c>
      <c r="AK37">
        <v>0.96422654200000002</v>
      </c>
    </row>
    <row r="39" spans="1:37" x14ac:dyDescent="0.35">
      <c r="A39" s="14" t="s">
        <v>43</v>
      </c>
      <c r="B39" s="14" t="s">
        <v>28</v>
      </c>
      <c r="C39" s="14" t="s">
        <v>29</v>
      </c>
      <c r="D39" s="14" t="s">
        <v>30</v>
      </c>
      <c r="E39" s="14" t="s">
        <v>31</v>
      </c>
      <c r="F39" s="14"/>
      <c r="G39" s="14">
        <v>2020</v>
      </c>
      <c r="H39" s="14">
        <v>2021</v>
      </c>
      <c r="I39" s="14">
        <v>2022</v>
      </c>
      <c r="J39" s="14">
        <v>2023</v>
      </c>
      <c r="K39" s="14">
        <v>2024</v>
      </c>
      <c r="L39" s="14">
        <v>2025</v>
      </c>
    </row>
    <row r="40" spans="1:37" x14ac:dyDescent="0.35">
      <c r="A40" s="14" t="str">
        <f>'Population Definitions'!$A$2</f>
        <v>anc_hm</v>
      </c>
      <c r="B40" s="15" t="s">
        <v>32</v>
      </c>
      <c r="C40" s="15" t="s">
        <v>36</v>
      </c>
      <c r="D40" s="16"/>
      <c r="E40" s="16">
        <v>0.23400000000000001</v>
      </c>
      <c r="F40" s="17" t="s">
        <v>34</v>
      </c>
      <c r="G40" s="16"/>
      <c r="H40" s="16"/>
      <c r="I40" s="16"/>
      <c r="J40" s="16"/>
      <c r="K40" s="16"/>
      <c r="L40" s="16"/>
    </row>
  </sheetData>
  <conditionalFormatting sqref="E9">
    <cfRule type="expression" dxfId="764" priority="1">
      <formula>COUNTIF(G9:L9,"&lt;&gt;" &amp; "")&gt;0</formula>
    </cfRule>
    <cfRule type="expression" dxfId="763" priority="2">
      <formula>AND(COUNTIF(G9:L9,"&lt;&gt;" &amp; "")&gt;0,NOT(ISBLANK(E9)))</formula>
    </cfRule>
  </conditionalFormatting>
  <conditionalFormatting sqref="E12">
    <cfRule type="expression" dxfId="762" priority="3">
      <formula>COUNTIF(G12:L12,"&lt;&gt;" &amp; "")&gt;0</formula>
    </cfRule>
    <cfRule type="expression" dxfId="761" priority="4">
      <formula>AND(COUNTIF(G12:L12,"&lt;&gt;" &amp; "")&gt;0,NOT(ISBLANK(E12)))</formula>
    </cfRule>
  </conditionalFormatting>
  <conditionalFormatting sqref="E15">
    <cfRule type="expression" dxfId="760" priority="13">
      <formula>COUNTIF(#REF!,"&lt;&gt;" &amp; "")&gt;0</formula>
    </cfRule>
    <cfRule type="expression" dxfId="759" priority="14">
      <formula>AND(COUNTIF(#REF!,"&lt;&gt;" &amp; "")&gt;0,NOT(ISBLANK(E15)))</formula>
    </cfRule>
  </conditionalFormatting>
  <conditionalFormatting sqref="E18">
    <cfRule type="expression" dxfId="758" priority="21">
      <formula>COUNTIF(G18:L18,"&lt;&gt;" &amp; "")&gt;0</formula>
    </cfRule>
    <cfRule type="expression" dxfId="757" priority="22">
      <formula>AND(COUNTIF(G18:L18,"&lt;&gt;" &amp; "")&gt;0,NOT(ISBLANK(E18)))</formula>
    </cfRule>
  </conditionalFormatting>
  <conditionalFormatting sqref="E21">
    <cfRule type="expression" dxfId="756" priority="23">
      <formula>COUNTIF(G21:L21,"&lt;&gt;" &amp; "")&gt;0</formula>
    </cfRule>
    <cfRule type="expression" dxfId="755" priority="24">
      <formula>AND(COUNTIF(G21:L21,"&lt;&gt;" &amp; "")&gt;0,NOT(ISBLANK(E21)))</formula>
    </cfRule>
  </conditionalFormatting>
  <conditionalFormatting sqref="E24">
    <cfRule type="expression" dxfId="754" priority="25">
      <formula>COUNTIF(G24:L24,"&lt;&gt;" &amp; "")&gt;0</formula>
    </cfRule>
    <cfRule type="expression" dxfId="753" priority="26">
      <formula>AND(COUNTIF(G24:L24,"&lt;&gt;" &amp; "")&gt;0,NOT(ISBLANK(E24)))</formula>
    </cfRule>
  </conditionalFormatting>
  <conditionalFormatting sqref="E36">
    <cfRule type="expression" dxfId="752" priority="462">
      <formula>COUNTIF(G37:L37,"&lt;&gt;" &amp; "")&gt;0</formula>
    </cfRule>
    <cfRule type="expression" dxfId="751" priority="463">
      <formula>AND(COUNTIF(G37:L37,"&lt;&gt;" &amp; "")&gt;0,NOT(ISBLANK(E36)))</formula>
    </cfRule>
  </conditionalFormatting>
  <conditionalFormatting sqref="E37">
    <cfRule type="expression" dxfId="750" priority="460">
      <formula>COUNTIF(#REF!,"&lt;&gt;" &amp; "")&gt;0</formula>
    </cfRule>
    <cfRule type="expression" dxfId="749" priority="461">
      <formula>AND(COUNTIF(#REF!,"&lt;&gt;" &amp; "")&gt;0,NOT(ISBLANK(E37)))</formula>
    </cfRule>
  </conditionalFormatting>
  <conditionalFormatting sqref="E40">
    <cfRule type="expression" dxfId="748" priority="35">
      <formula>COUNTIF(G40:L40,"&lt;&gt;" &amp; "")&gt;0</formula>
    </cfRule>
    <cfRule type="expression" dxfId="747" priority="36">
      <formula>AND(COUNTIF(G40:L40,"&lt;&gt;" &amp; "")&gt;0,NOT(ISBLANK(E40)))</formula>
    </cfRule>
  </conditionalFormatting>
  <dataValidations count="3">
    <dataValidation type="list" allowBlank="1" showInputMessage="1" showErrorMessage="1" sqref="C2" xr:uid="{00000000-0002-0000-0100-000000000000}">
      <formula1>"Number (per year)"</formula1>
    </dataValidation>
    <dataValidation type="list" allowBlank="1" showInputMessage="1" showErrorMessage="1" sqref="C15 C40 C36:C37 C33 C30 C27 C24 C21 C18 C6:C7" xr:uid="{00000000-0002-0000-0100-000001000000}">
      <formula1>"Proportion"</formula1>
    </dataValidation>
    <dataValidation type="list" allowBlank="1" showInputMessage="1" showErrorMessage="1" sqref="C9 C12" xr:uid="{995DEAB6-C2CB-428A-9A41-A68DB95BB53B}">
      <formula1>"Number"</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V60"/>
  <sheetViews>
    <sheetView workbookViewId="0">
      <selection sqref="A1:V1048576"/>
    </sheetView>
  </sheetViews>
  <sheetFormatPr defaultRowHeight="14.5" x14ac:dyDescent="0.35"/>
  <cols>
    <col min="1" max="1" width="89.7265625" style="15" customWidth="1"/>
    <col min="2" max="2" width="30.26953125" style="15" customWidth="1"/>
    <col min="3" max="3" width="12.7265625" style="15" customWidth="1"/>
    <col min="4" max="4" width="13.81640625" style="15" customWidth="1"/>
    <col min="5" max="5" width="10.54296875" style="15" customWidth="1"/>
    <col min="6" max="6" width="3.81640625" style="15" customWidth="1"/>
    <col min="7" max="12" width="9.453125" style="15" customWidth="1"/>
    <col min="13" max="22" width="8.7265625" style="15"/>
  </cols>
  <sheetData>
    <row r="1" spans="1:12" x14ac:dyDescent="0.35">
      <c r="A1" s="14" t="s">
        <v>44</v>
      </c>
      <c r="B1" s="14" t="s">
        <v>28</v>
      </c>
      <c r="C1" s="14" t="s">
        <v>29</v>
      </c>
      <c r="D1" s="14" t="s">
        <v>30</v>
      </c>
      <c r="E1" s="14" t="s">
        <v>31</v>
      </c>
      <c r="F1" s="14"/>
      <c r="G1" s="14">
        <v>2020</v>
      </c>
      <c r="H1" s="14">
        <v>2021</v>
      </c>
      <c r="I1" s="14">
        <v>2022</v>
      </c>
      <c r="J1" s="14">
        <v>2023</v>
      </c>
      <c r="K1" s="14">
        <v>2024</v>
      </c>
      <c r="L1" s="14">
        <v>2025</v>
      </c>
    </row>
    <row r="2" spans="1:12" x14ac:dyDescent="0.35">
      <c r="A2" s="14" t="str">
        <f>'Population Definitions'!$A$3</f>
        <v>asx_hm</v>
      </c>
      <c r="B2" s="15" t="s">
        <v>32</v>
      </c>
      <c r="C2" s="15" t="s">
        <v>36</v>
      </c>
      <c r="D2" s="16"/>
      <c r="E2" s="20">
        <v>1.87</v>
      </c>
      <c r="F2" s="17" t="s">
        <v>34</v>
      </c>
      <c r="G2" s="16"/>
      <c r="H2" s="16"/>
      <c r="I2" s="16"/>
      <c r="J2" s="16"/>
      <c r="K2" s="16"/>
      <c r="L2" s="16"/>
    </row>
    <row r="4" spans="1:12" x14ac:dyDescent="0.35">
      <c r="A4" s="14" t="s">
        <v>45</v>
      </c>
      <c r="B4" s="14" t="s">
        <v>28</v>
      </c>
      <c r="C4" s="14" t="s">
        <v>29</v>
      </c>
      <c r="D4" s="14" t="s">
        <v>30</v>
      </c>
      <c r="E4" s="14" t="s">
        <v>31</v>
      </c>
      <c r="F4" s="14"/>
      <c r="G4" s="14">
        <v>2020</v>
      </c>
      <c r="H4" s="14">
        <v>2021</v>
      </c>
      <c r="I4" s="14">
        <v>2022</v>
      </c>
      <c r="J4" s="14">
        <v>2023</v>
      </c>
      <c r="K4" s="14">
        <v>2024</v>
      </c>
      <c r="L4" s="14">
        <v>2025</v>
      </c>
    </row>
    <row r="5" spans="1:12" x14ac:dyDescent="0.35">
      <c r="A5" s="14" t="str">
        <f>'Population Definitions'!$A$3</f>
        <v>asx_hm</v>
      </c>
      <c r="B5" s="15" t="s">
        <v>32</v>
      </c>
      <c r="C5" s="15" t="s">
        <v>36</v>
      </c>
      <c r="D5" s="16"/>
      <c r="E5" s="20">
        <v>1.1000000000000001</v>
      </c>
      <c r="F5" s="17" t="s">
        <v>34</v>
      </c>
      <c r="G5" s="16"/>
      <c r="H5" s="16"/>
      <c r="I5" s="16"/>
      <c r="J5" s="16"/>
      <c r="K5" s="16"/>
      <c r="L5" s="16"/>
    </row>
    <row r="7" spans="1:12" x14ac:dyDescent="0.35">
      <c r="A7" s="14" t="s">
        <v>46</v>
      </c>
      <c r="B7" s="14" t="s">
        <v>28</v>
      </c>
      <c r="C7" s="14" t="s">
        <v>29</v>
      </c>
      <c r="D7" s="14" t="s">
        <v>30</v>
      </c>
      <c r="E7" s="14" t="s">
        <v>31</v>
      </c>
      <c r="F7" s="14"/>
      <c r="G7" s="14">
        <v>2020</v>
      </c>
      <c r="H7" s="14">
        <v>2021</v>
      </c>
      <c r="I7" s="14">
        <v>2022</v>
      </c>
      <c r="J7" s="14">
        <v>2023</v>
      </c>
      <c r="K7" s="14">
        <v>2024</v>
      </c>
      <c r="L7" s="14">
        <v>2025</v>
      </c>
    </row>
    <row r="8" spans="1:12" x14ac:dyDescent="0.35">
      <c r="A8" s="14" t="str">
        <f>'Population Definitions'!$A$3</f>
        <v>asx_hm</v>
      </c>
      <c r="B8" s="15" t="s">
        <v>32</v>
      </c>
      <c r="C8" s="15" t="s">
        <v>36</v>
      </c>
      <c r="D8" s="16"/>
      <c r="E8" s="20">
        <v>1.58</v>
      </c>
      <c r="F8" s="17" t="s">
        <v>34</v>
      </c>
      <c r="G8" s="16"/>
      <c r="H8" s="16"/>
      <c r="I8" s="16"/>
      <c r="J8" s="16"/>
      <c r="K8" s="16"/>
      <c r="L8" s="16"/>
    </row>
    <row r="10" spans="1:12" x14ac:dyDescent="0.35">
      <c r="A10" s="14" t="s">
        <v>292</v>
      </c>
      <c r="B10" s="14" t="s">
        <v>28</v>
      </c>
      <c r="C10" s="14" t="s">
        <v>29</v>
      </c>
      <c r="D10" s="14" t="s">
        <v>30</v>
      </c>
      <c r="E10" s="14" t="s">
        <v>31</v>
      </c>
      <c r="G10" s="14">
        <v>2020</v>
      </c>
      <c r="H10" s="14">
        <v>2021</v>
      </c>
      <c r="I10" s="14">
        <v>2022</v>
      </c>
      <c r="J10" s="14">
        <v>2023</v>
      </c>
      <c r="K10" s="14">
        <v>2024</v>
      </c>
      <c r="L10" s="14">
        <v>2025</v>
      </c>
    </row>
    <row r="11" spans="1:12" x14ac:dyDescent="0.35">
      <c r="A11" s="14" t="str">
        <f>'Population Definitions'!$A$3</f>
        <v>asx_hm</v>
      </c>
      <c r="B11" s="15" t="s">
        <v>32</v>
      </c>
      <c r="C11" s="15" t="s">
        <v>36</v>
      </c>
      <c r="E11" s="15">
        <v>0.6</v>
      </c>
      <c r="F11" s="17" t="s">
        <v>34</v>
      </c>
      <c r="G11" s="16"/>
      <c r="H11" s="16"/>
      <c r="I11" s="16"/>
      <c r="J11" s="16"/>
      <c r="K11" s="16"/>
      <c r="L11" s="16"/>
    </row>
    <row r="13" spans="1:12" x14ac:dyDescent="0.35">
      <c r="A13" s="14" t="s">
        <v>303</v>
      </c>
      <c r="B13" s="14" t="s">
        <v>28</v>
      </c>
      <c r="C13" s="14" t="s">
        <v>29</v>
      </c>
      <c r="D13" s="14" t="s">
        <v>30</v>
      </c>
      <c r="E13" s="14" t="s">
        <v>31</v>
      </c>
      <c r="F13" s="14"/>
      <c r="G13" s="14">
        <v>2020</v>
      </c>
      <c r="H13" s="14">
        <v>2021</v>
      </c>
      <c r="I13" s="14">
        <v>2022</v>
      </c>
      <c r="J13" s="14">
        <v>2023</v>
      </c>
      <c r="K13" s="14">
        <v>2024</v>
      </c>
      <c r="L13" s="14">
        <v>2025</v>
      </c>
    </row>
    <row r="14" spans="1:12" x14ac:dyDescent="0.35">
      <c r="A14" s="14" t="str">
        <f>'[3]Population Definitions'!$A$3</f>
        <v>asx_hm</v>
      </c>
      <c r="B14" s="15" t="s">
        <v>32</v>
      </c>
      <c r="C14" s="15" t="s">
        <v>36</v>
      </c>
      <c r="D14" s="16"/>
      <c r="E14" s="16">
        <v>35</v>
      </c>
      <c r="F14" s="17" t="s">
        <v>34</v>
      </c>
      <c r="G14" s="16"/>
      <c r="H14" s="16"/>
      <c r="I14" s="16"/>
      <c r="J14" s="16"/>
      <c r="K14" s="16"/>
      <c r="L14" s="16"/>
    </row>
    <row r="16" spans="1:12" x14ac:dyDescent="0.35">
      <c r="A16" s="14" t="s">
        <v>304</v>
      </c>
      <c r="B16" s="14" t="s">
        <v>28</v>
      </c>
      <c r="C16" s="14" t="s">
        <v>29</v>
      </c>
      <c r="D16" s="14" t="s">
        <v>30</v>
      </c>
      <c r="E16" s="14" t="s">
        <v>31</v>
      </c>
      <c r="F16" s="14"/>
      <c r="G16" s="14">
        <v>2020</v>
      </c>
      <c r="H16" s="14">
        <v>2021</v>
      </c>
      <c r="I16" s="14">
        <v>2022</v>
      </c>
      <c r="J16" s="14">
        <v>2023</v>
      </c>
      <c r="K16" s="14">
        <v>2024</v>
      </c>
      <c r="L16" s="14">
        <v>2025</v>
      </c>
    </row>
    <row r="17" spans="1:22" x14ac:dyDescent="0.35">
      <c r="A17" s="14" t="str">
        <f>'[3]Population Definitions'!$A$3</f>
        <v>asx_hm</v>
      </c>
      <c r="B17" s="15" t="s">
        <v>32</v>
      </c>
      <c r="C17" s="15" t="s">
        <v>36</v>
      </c>
      <c r="D17" s="16"/>
      <c r="E17" s="16">
        <v>1.86</v>
      </c>
      <c r="F17" s="17" t="s">
        <v>34</v>
      </c>
      <c r="G17" s="16"/>
      <c r="H17" s="16"/>
      <c r="I17" s="16"/>
      <c r="J17" s="16"/>
      <c r="K17" s="16"/>
      <c r="L17" s="16"/>
    </row>
    <row r="19" spans="1:22" s="10" customFormat="1" x14ac:dyDescent="0.35">
      <c r="A19" s="14" t="s">
        <v>208</v>
      </c>
      <c r="B19" s="14" t="s">
        <v>28</v>
      </c>
      <c r="C19" s="14" t="s">
        <v>29</v>
      </c>
      <c r="D19" s="14" t="s">
        <v>30</v>
      </c>
      <c r="E19" s="14" t="s">
        <v>31</v>
      </c>
      <c r="F19" s="14"/>
      <c r="G19" s="14">
        <v>2020</v>
      </c>
      <c r="H19" s="14">
        <v>2021</v>
      </c>
      <c r="I19" s="14">
        <v>2022</v>
      </c>
      <c r="J19" s="14">
        <v>2023</v>
      </c>
      <c r="K19" s="14">
        <v>2024</v>
      </c>
      <c r="L19" s="14">
        <v>2025</v>
      </c>
      <c r="M19" s="15"/>
      <c r="N19" s="15"/>
      <c r="O19" s="15"/>
      <c r="P19" s="15"/>
      <c r="Q19" s="15"/>
      <c r="R19" s="15"/>
      <c r="S19" s="15"/>
      <c r="T19" s="15"/>
      <c r="U19" s="15"/>
      <c r="V19" s="15"/>
    </row>
    <row r="20" spans="1:22" x14ac:dyDescent="0.35">
      <c r="A20" s="14" t="str">
        <f>'Population Definitions'!$A$3</f>
        <v>asx_hm</v>
      </c>
      <c r="B20" s="15" t="s">
        <v>32</v>
      </c>
      <c r="C20" s="15" t="s">
        <v>36</v>
      </c>
      <c r="D20" s="16"/>
      <c r="E20" s="18">
        <v>1.3989100000000001E-2</v>
      </c>
      <c r="F20" s="17" t="s">
        <v>34</v>
      </c>
      <c r="G20" s="18"/>
      <c r="H20" s="16"/>
      <c r="I20" s="16"/>
      <c r="J20" s="16"/>
      <c r="K20" s="16"/>
      <c r="L20" s="16"/>
    </row>
    <row r="22" spans="1:22" s="10" customFormat="1" x14ac:dyDescent="0.35">
      <c r="A22" s="14" t="s">
        <v>274</v>
      </c>
      <c r="B22" s="14" t="s">
        <v>28</v>
      </c>
      <c r="C22" s="14" t="s">
        <v>29</v>
      </c>
      <c r="D22" s="14" t="s">
        <v>30</v>
      </c>
      <c r="E22" s="14" t="s">
        <v>31</v>
      </c>
      <c r="F22" s="14"/>
      <c r="G22" s="14">
        <v>2020</v>
      </c>
      <c r="H22" s="14">
        <v>2021</v>
      </c>
      <c r="I22" s="14">
        <v>2022</v>
      </c>
      <c r="J22" s="14">
        <v>2023</v>
      </c>
      <c r="K22" s="14">
        <v>2024</v>
      </c>
      <c r="L22" s="14">
        <v>2025</v>
      </c>
      <c r="M22" s="15"/>
      <c r="N22" s="15"/>
      <c r="O22" s="15"/>
      <c r="P22" s="15"/>
      <c r="Q22" s="15"/>
      <c r="R22" s="15"/>
      <c r="S22" s="15"/>
      <c r="T22" s="15"/>
      <c r="U22" s="15"/>
      <c r="V22" s="15"/>
    </row>
    <row r="23" spans="1:22" x14ac:dyDescent="0.35">
      <c r="A23" s="14" t="str">
        <f>'Population Definitions'!$A$3</f>
        <v>asx_hm</v>
      </c>
      <c r="B23" s="15" t="s">
        <v>32</v>
      </c>
      <c r="C23" s="15" t="s">
        <v>36</v>
      </c>
      <c r="D23" s="16"/>
      <c r="E23" s="18">
        <v>1.49430671018887E-2</v>
      </c>
      <c r="F23" s="17" t="s">
        <v>34</v>
      </c>
      <c r="G23" s="18"/>
      <c r="H23" s="16"/>
      <c r="I23" s="16"/>
      <c r="J23" s="16"/>
      <c r="K23" s="16"/>
      <c r="L23" s="16"/>
    </row>
    <row r="25" spans="1:22" x14ac:dyDescent="0.35">
      <c r="A25" s="14" t="s">
        <v>47</v>
      </c>
      <c r="B25" s="14" t="s">
        <v>28</v>
      </c>
      <c r="C25" s="14" t="s">
        <v>29</v>
      </c>
      <c r="D25" s="14" t="s">
        <v>30</v>
      </c>
      <c r="E25" s="14" t="s">
        <v>31</v>
      </c>
      <c r="F25" s="14"/>
      <c r="G25" s="14">
        <v>2020</v>
      </c>
      <c r="H25" s="14">
        <v>2021</v>
      </c>
      <c r="I25" s="14">
        <v>2022</v>
      </c>
      <c r="J25" s="14">
        <v>2023</v>
      </c>
      <c r="K25" s="14">
        <v>2024</v>
      </c>
      <c r="L25" s="14">
        <v>2025</v>
      </c>
    </row>
    <row r="26" spans="1:22" x14ac:dyDescent="0.35">
      <c r="A26" s="14" t="str">
        <f>'Population Definitions'!$A$3</f>
        <v>asx_hm</v>
      </c>
      <c r="B26" s="15" t="s">
        <v>32</v>
      </c>
      <c r="C26" s="15" t="s">
        <v>36</v>
      </c>
      <c r="D26" s="16"/>
      <c r="E26" s="16">
        <v>3.2</v>
      </c>
      <c r="F26" s="17" t="s">
        <v>34</v>
      </c>
      <c r="G26" s="16"/>
      <c r="H26" s="16"/>
      <c r="I26" s="16"/>
      <c r="J26" s="16"/>
      <c r="K26" s="16"/>
      <c r="L26" s="16"/>
    </row>
    <row r="28" spans="1:22" x14ac:dyDescent="0.35">
      <c r="A28" s="14" t="s">
        <v>48</v>
      </c>
      <c r="B28" s="14" t="s">
        <v>28</v>
      </c>
      <c r="C28" s="14" t="s">
        <v>29</v>
      </c>
      <c r="D28" s="14" t="s">
        <v>30</v>
      </c>
      <c r="E28" s="14" t="s">
        <v>31</v>
      </c>
      <c r="F28" s="14"/>
      <c r="G28" s="14">
        <v>2020</v>
      </c>
      <c r="H28" s="14">
        <v>2021</v>
      </c>
      <c r="I28" s="14">
        <v>2022</v>
      </c>
      <c r="J28" s="14">
        <v>2023</v>
      </c>
      <c r="K28" s="14">
        <v>2024</v>
      </c>
      <c r="L28" s="14">
        <v>2025</v>
      </c>
    </row>
    <row r="29" spans="1:22" x14ac:dyDescent="0.35">
      <c r="A29" s="14" t="str">
        <f>'Population Definitions'!$A$3</f>
        <v>asx_hm</v>
      </c>
      <c r="B29" s="15" t="s">
        <v>32</v>
      </c>
      <c r="C29" s="15" t="s">
        <v>36</v>
      </c>
      <c r="D29" s="16"/>
      <c r="E29" s="16">
        <v>0</v>
      </c>
      <c r="F29" s="17" t="s">
        <v>34</v>
      </c>
      <c r="G29" s="16"/>
      <c r="H29" s="16"/>
      <c r="I29" s="16"/>
      <c r="J29" s="16"/>
      <c r="K29" s="16"/>
      <c r="L29" s="16"/>
    </row>
    <row r="31" spans="1:22" x14ac:dyDescent="0.35">
      <c r="A31" s="14" t="s">
        <v>49</v>
      </c>
      <c r="B31" s="14" t="s">
        <v>28</v>
      </c>
      <c r="C31" s="14" t="s">
        <v>29</v>
      </c>
      <c r="D31" s="14" t="s">
        <v>30</v>
      </c>
      <c r="E31" s="14" t="s">
        <v>31</v>
      </c>
      <c r="F31" s="14"/>
      <c r="G31" s="14">
        <v>2020</v>
      </c>
      <c r="H31" s="14">
        <v>2021</v>
      </c>
      <c r="I31" s="14">
        <v>2022</v>
      </c>
      <c r="J31" s="14">
        <v>2023</v>
      </c>
      <c r="K31" s="14">
        <v>2024</v>
      </c>
      <c r="L31" s="14">
        <v>2025</v>
      </c>
    </row>
    <row r="32" spans="1:22" x14ac:dyDescent="0.35">
      <c r="A32" s="14" t="str">
        <f>'Population Definitions'!$A$3</f>
        <v>asx_hm</v>
      </c>
      <c r="B32" s="15" t="s">
        <v>32</v>
      </c>
      <c r="C32" s="15" t="s">
        <v>36</v>
      </c>
      <c r="D32" s="16"/>
      <c r="E32" s="16">
        <v>0</v>
      </c>
      <c r="F32" s="17" t="s">
        <v>34</v>
      </c>
      <c r="G32" s="16"/>
      <c r="H32" s="16"/>
      <c r="I32" s="16"/>
      <c r="J32" s="16"/>
      <c r="K32" s="16"/>
      <c r="L32" s="16"/>
    </row>
    <row r="34" spans="1:22" x14ac:dyDescent="0.35">
      <c r="A34" s="14" t="s">
        <v>275</v>
      </c>
      <c r="B34" s="14" t="s">
        <v>28</v>
      </c>
      <c r="C34" s="14" t="s">
        <v>29</v>
      </c>
      <c r="D34" s="14" t="s">
        <v>30</v>
      </c>
      <c r="E34" s="14" t="s">
        <v>31</v>
      </c>
      <c r="F34" s="14"/>
      <c r="G34" s="14">
        <v>2020</v>
      </c>
      <c r="H34" s="14">
        <v>2021</v>
      </c>
      <c r="I34" s="14">
        <v>2022</v>
      </c>
      <c r="J34" s="14">
        <v>2023</v>
      </c>
      <c r="K34" s="14">
        <v>2024</v>
      </c>
      <c r="L34" s="14">
        <v>2025</v>
      </c>
    </row>
    <row r="35" spans="1:22" x14ac:dyDescent="0.35">
      <c r="A35" s="14" t="str">
        <f>'Population Definitions'!$A$3</f>
        <v>asx_hm</v>
      </c>
      <c r="B35" s="15" t="s">
        <v>32</v>
      </c>
      <c r="C35" s="15" t="s">
        <v>36</v>
      </c>
      <c r="D35" s="16"/>
      <c r="E35" s="21">
        <v>0.28000000000000003</v>
      </c>
      <c r="F35" s="17" t="s">
        <v>34</v>
      </c>
      <c r="G35" s="18"/>
      <c r="H35" s="16"/>
      <c r="I35" s="16"/>
      <c r="J35" s="16"/>
      <c r="K35" s="16"/>
      <c r="L35" s="16"/>
    </row>
    <row r="37" spans="1:22" x14ac:dyDescent="0.35">
      <c r="A37" s="14" t="s">
        <v>276</v>
      </c>
      <c r="B37" s="14" t="s">
        <v>28</v>
      </c>
      <c r="C37" s="14" t="s">
        <v>29</v>
      </c>
      <c r="D37" s="14" t="s">
        <v>30</v>
      </c>
      <c r="E37" s="14" t="s">
        <v>31</v>
      </c>
      <c r="F37" s="14"/>
      <c r="G37" s="14">
        <v>2020</v>
      </c>
      <c r="H37" s="14">
        <v>2021</v>
      </c>
      <c r="I37" s="14">
        <v>2022</v>
      </c>
      <c r="J37" s="14">
        <v>2023</v>
      </c>
      <c r="K37" s="14">
        <v>2024</v>
      </c>
      <c r="L37" s="14">
        <v>2025</v>
      </c>
    </row>
    <row r="38" spans="1:22" x14ac:dyDescent="0.35">
      <c r="A38" s="14" t="str">
        <f>'Population Definitions'!$A$3</f>
        <v>asx_hm</v>
      </c>
      <c r="B38" s="15" t="s">
        <v>32</v>
      </c>
      <c r="C38" s="15" t="s">
        <v>36</v>
      </c>
      <c r="D38" s="16"/>
      <c r="E38" s="22">
        <v>0.56000000000000005</v>
      </c>
      <c r="F38" s="17" t="s">
        <v>34</v>
      </c>
      <c r="G38" s="18"/>
      <c r="H38" s="16"/>
      <c r="I38" s="16"/>
      <c r="J38" s="16"/>
      <c r="K38" s="16"/>
      <c r="L38" s="16"/>
    </row>
    <row r="40" spans="1:22" x14ac:dyDescent="0.35">
      <c r="A40" s="14" t="s">
        <v>209</v>
      </c>
      <c r="B40" s="14" t="s">
        <v>28</v>
      </c>
      <c r="C40" s="14" t="s">
        <v>29</v>
      </c>
      <c r="D40" s="14" t="s">
        <v>30</v>
      </c>
      <c r="E40" s="14" t="s">
        <v>31</v>
      </c>
      <c r="F40" s="14"/>
      <c r="G40" s="14">
        <v>2020</v>
      </c>
      <c r="H40" s="14">
        <v>2021</v>
      </c>
      <c r="I40" s="14">
        <v>2022</v>
      </c>
      <c r="J40" s="14">
        <v>2023</v>
      </c>
      <c r="K40" s="14">
        <v>2024</v>
      </c>
      <c r="L40" s="14">
        <v>2025</v>
      </c>
    </row>
    <row r="41" spans="1:22" x14ac:dyDescent="0.35">
      <c r="A41" s="14" t="str">
        <f>'Population Definitions'!$A$3</f>
        <v>asx_hm</v>
      </c>
      <c r="B41" s="15" t="s">
        <v>32</v>
      </c>
      <c r="C41" s="15" t="s">
        <v>36</v>
      </c>
      <c r="D41" s="16"/>
      <c r="E41" s="19">
        <v>6.0999999999999999E-2</v>
      </c>
      <c r="F41" s="17" t="s">
        <v>34</v>
      </c>
      <c r="G41" s="16"/>
      <c r="H41" s="16"/>
      <c r="I41" s="16"/>
      <c r="J41" s="16"/>
      <c r="K41" s="16"/>
      <c r="L41" s="16"/>
    </row>
    <row r="43" spans="1:22" x14ac:dyDescent="0.35">
      <c r="A43" s="14" t="s">
        <v>210</v>
      </c>
      <c r="B43" s="14" t="s">
        <v>28</v>
      </c>
      <c r="C43" s="14" t="s">
        <v>29</v>
      </c>
      <c r="D43" s="14" t="s">
        <v>30</v>
      </c>
      <c r="E43" s="14" t="s">
        <v>31</v>
      </c>
      <c r="F43" s="14"/>
      <c r="G43" s="14">
        <v>2020</v>
      </c>
      <c r="H43" s="14">
        <v>2021</v>
      </c>
      <c r="I43" s="14">
        <v>2022</v>
      </c>
      <c r="J43" s="14">
        <v>2023</v>
      </c>
      <c r="K43" s="14">
        <v>2024</v>
      </c>
      <c r="L43" s="14">
        <v>2025</v>
      </c>
    </row>
    <row r="44" spans="1:22" x14ac:dyDescent="0.35">
      <c r="A44" s="14" t="str">
        <f>'Population Definitions'!$A$3</f>
        <v>asx_hm</v>
      </c>
      <c r="B44" s="15" t="s">
        <v>32</v>
      </c>
      <c r="C44" s="15" t="s">
        <v>36</v>
      </c>
      <c r="D44" s="16"/>
      <c r="E44" s="19">
        <v>2.17</v>
      </c>
      <c r="F44" s="17" t="s">
        <v>34</v>
      </c>
      <c r="G44" s="16"/>
      <c r="H44" s="16"/>
      <c r="I44" s="16"/>
      <c r="J44" s="16"/>
      <c r="K44" s="16"/>
      <c r="L44" s="16"/>
    </row>
    <row r="46" spans="1:22" s="10" customFormat="1" x14ac:dyDescent="0.35">
      <c r="A46" s="14" t="s">
        <v>194</v>
      </c>
      <c r="B46" s="14" t="s">
        <v>28</v>
      </c>
      <c r="C46" s="14" t="s">
        <v>29</v>
      </c>
      <c r="D46" s="14" t="s">
        <v>30</v>
      </c>
      <c r="E46" s="14" t="s">
        <v>31</v>
      </c>
      <c r="F46" s="14"/>
      <c r="G46" s="14">
        <v>2020</v>
      </c>
      <c r="H46" s="14">
        <v>2021</v>
      </c>
      <c r="I46" s="14">
        <v>2022</v>
      </c>
      <c r="J46" s="14">
        <v>2023</v>
      </c>
      <c r="K46" s="14">
        <v>2024</v>
      </c>
      <c r="L46" s="14">
        <v>2025</v>
      </c>
      <c r="M46" s="15"/>
      <c r="N46" s="15"/>
      <c r="O46" s="15"/>
      <c r="P46" s="15"/>
      <c r="Q46" s="15"/>
      <c r="R46" s="15"/>
      <c r="S46" s="15"/>
      <c r="T46" s="15"/>
      <c r="U46" s="15"/>
      <c r="V46" s="15"/>
    </row>
    <row r="47" spans="1:22" x14ac:dyDescent="0.35">
      <c r="A47" s="14" t="str">
        <f>'[1]Population Definitions'!$A$3</f>
        <v>asx_hm</v>
      </c>
      <c r="C47" s="15" t="s">
        <v>64</v>
      </c>
      <c r="D47" s="16"/>
      <c r="E47" s="20">
        <v>316904.71000000002</v>
      </c>
      <c r="F47" s="17" t="s">
        <v>34</v>
      </c>
      <c r="G47" s="23"/>
      <c r="H47" s="23"/>
      <c r="I47" s="23"/>
      <c r="J47" s="23"/>
      <c r="K47" s="23"/>
      <c r="L47" s="23"/>
    </row>
    <row r="49" spans="1:22" s="10" customFormat="1" x14ac:dyDescent="0.35">
      <c r="A49" s="14" t="s">
        <v>211</v>
      </c>
      <c r="B49" s="14" t="s">
        <v>28</v>
      </c>
      <c r="C49" s="14" t="s">
        <v>29</v>
      </c>
      <c r="D49" s="14" t="s">
        <v>30</v>
      </c>
      <c r="E49" s="14" t="s">
        <v>31</v>
      </c>
      <c r="F49" s="14"/>
      <c r="G49" s="14">
        <v>2020</v>
      </c>
      <c r="H49" s="14">
        <v>2021</v>
      </c>
      <c r="I49" s="14">
        <v>2022</v>
      </c>
      <c r="J49" s="14">
        <v>2023</v>
      </c>
      <c r="K49" s="14">
        <v>2024</v>
      </c>
      <c r="L49" s="14">
        <v>2025</v>
      </c>
      <c r="M49" s="15"/>
      <c r="N49" s="15"/>
      <c r="O49" s="15"/>
      <c r="P49" s="15"/>
      <c r="Q49" s="15"/>
      <c r="R49" s="15"/>
      <c r="S49" s="15"/>
      <c r="T49" s="15"/>
      <c r="U49" s="15"/>
      <c r="V49" s="15"/>
    </row>
    <row r="50" spans="1:22" x14ac:dyDescent="0.35">
      <c r="A50" s="14" t="str">
        <f>'[1]Population Definitions'!$A$3</f>
        <v>asx_hm</v>
      </c>
      <c r="C50" s="15" t="s">
        <v>64</v>
      </c>
      <c r="D50" s="16"/>
      <c r="E50" s="15">
        <v>204537</v>
      </c>
      <c r="F50" s="17" t="s">
        <v>34</v>
      </c>
      <c r="G50" s="23"/>
      <c r="H50" s="23"/>
      <c r="I50" s="23"/>
      <c r="J50" s="23"/>
      <c r="K50" s="23"/>
      <c r="L50" s="23"/>
    </row>
    <row r="52" spans="1:22" s="10" customFormat="1" x14ac:dyDescent="0.35">
      <c r="A52" s="14" t="s">
        <v>195</v>
      </c>
      <c r="B52" s="14" t="s">
        <v>28</v>
      </c>
      <c r="C52" s="14" t="s">
        <v>29</v>
      </c>
      <c r="D52" s="14" t="s">
        <v>30</v>
      </c>
      <c r="E52" s="14" t="s">
        <v>31</v>
      </c>
      <c r="F52" s="14"/>
      <c r="G52" s="14">
        <v>2020</v>
      </c>
      <c r="H52" s="14">
        <v>2021</v>
      </c>
      <c r="I52" s="14">
        <v>2022</v>
      </c>
      <c r="J52" s="14">
        <v>2023</v>
      </c>
      <c r="K52" s="14">
        <v>2024</v>
      </c>
      <c r="L52" s="14">
        <v>2025</v>
      </c>
      <c r="M52" s="15"/>
      <c r="N52" s="15"/>
      <c r="O52" s="15"/>
      <c r="P52" s="15"/>
      <c r="Q52" s="15"/>
      <c r="R52" s="15"/>
      <c r="S52" s="15"/>
      <c r="T52" s="15"/>
      <c r="U52" s="15"/>
      <c r="V52" s="15"/>
    </row>
    <row r="53" spans="1:22" x14ac:dyDescent="0.35">
      <c r="A53" s="14" t="str">
        <f>'[1]Population Definitions'!$A$3</f>
        <v>asx_hm</v>
      </c>
      <c r="C53" s="15" t="s">
        <v>64</v>
      </c>
      <c r="D53" s="16"/>
      <c r="E53" s="20">
        <v>544298</v>
      </c>
      <c r="F53" s="17" t="s">
        <v>34</v>
      </c>
      <c r="G53" s="23"/>
      <c r="H53" s="23"/>
      <c r="I53" s="23"/>
      <c r="J53" s="23"/>
      <c r="K53" s="23"/>
      <c r="L53" s="23"/>
    </row>
    <row r="56" spans="1:22" x14ac:dyDescent="0.35">
      <c r="A56" s="14" t="s">
        <v>301</v>
      </c>
      <c r="B56" s="14" t="s">
        <v>28</v>
      </c>
      <c r="C56" s="14" t="s">
        <v>29</v>
      </c>
      <c r="D56" s="14" t="s">
        <v>30</v>
      </c>
      <c r="E56" s="14" t="s">
        <v>31</v>
      </c>
      <c r="F56" s="14"/>
      <c r="G56" s="14">
        <v>2020</v>
      </c>
      <c r="H56" s="14">
        <v>2021</v>
      </c>
      <c r="I56" s="14">
        <v>2022</v>
      </c>
      <c r="J56" s="14">
        <v>2023</v>
      </c>
      <c r="K56" s="14">
        <v>2024</v>
      </c>
      <c r="L56" s="14">
        <v>2025</v>
      </c>
    </row>
    <row r="57" spans="1:22" x14ac:dyDescent="0.35">
      <c r="A57" s="14" t="str">
        <f>'[4]Population Definitions'!$A$3</f>
        <v>asx_hm</v>
      </c>
      <c r="B57" s="15" t="s">
        <v>32</v>
      </c>
      <c r="C57" s="15" t="s">
        <v>36</v>
      </c>
      <c r="D57" s="16"/>
      <c r="E57" s="16">
        <v>0</v>
      </c>
      <c r="F57" s="17" t="s">
        <v>34</v>
      </c>
      <c r="G57" s="16"/>
      <c r="H57" s="16"/>
      <c r="I57" s="16"/>
      <c r="J57" s="16"/>
      <c r="K57" s="16"/>
      <c r="L57" s="16"/>
    </row>
    <row r="59" spans="1:22" x14ac:dyDescent="0.35">
      <c r="A59" s="14" t="s">
        <v>302</v>
      </c>
      <c r="B59" s="14" t="s">
        <v>28</v>
      </c>
      <c r="C59" s="14" t="s">
        <v>29</v>
      </c>
      <c r="D59" s="14" t="s">
        <v>30</v>
      </c>
      <c r="E59" s="14" t="s">
        <v>31</v>
      </c>
      <c r="F59" s="14"/>
      <c r="G59" s="14">
        <v>2020</v>
      </c>
      <c r="H59" s="14">
        <v>2021</v>
      </c>
      <c r="I59" s="14">
        <v>2022</v>
      </c>
      <c r="J59" s="14">
        <v>2023</v>
      </c>
      <c r="K59" s="14">
        <v>2024</v>
      </c>
      <c r="L59" s="14">
        <v>2025</v>
      </c>
    </row>
    <row r="60" spans="1:22" x14ac:dyDescent="0.35">
      <c r="A60" s="14" t="str">
        <f>'[4]Population Definitions'!$A$3</f>
        <v>asx_hm</v>
      </c>
      <c r="B60" s="15" t="s">
        <v>32</v>
      </c>
      <c r="C60" s="15" t="s">
        <v>36</v>
      </c>
      <c r="D60" s="16"/>
      <c r="E60" s="16">
        <v>0</v>
      </c>
      <c r="F60" s="17" t="s">
        <v>34</v>
      </c>
      <c r="G60" s="16"/>
      <c r="H60" s="16"/>
      <c r="I60" s="16"/>
      <c r="J60" s="16"/>
      <c r="K60" s="16"/>
      <c r="L60" s="16"/>
    </row>
  </sheetData>
  <conditionalFormatting sqref="E14">
    <cfRule type="expression" dxfId="746" priority="1">
      <formula>COUNTIF(G14:L14,"&lt;&gt;" &amp; "")&gt;0</formula>
    </cfRule>
    <cfRule type="expression" dxfId="745" priority="2">
      <formula>AND(COUNTIF(G14:L14,"&lt;&gt;" &amp; "")&gt;0,NOT(ISBLANK(E14)))</formula>
    </cfRule>
  </conditionalFormatting>
  <conditionalFormatting sqref="E17">
    <cfRule type="expression" dxfId="744" priority="3">
      <formula>COUNTIF(G17:L17,"&lt;&gt;" &amp; "")&gt;0</formula>
    </cfRule>
    <cfRule type="expression" dxfId="743" priority="4">
      <formula>AND(COUNTIF(G17:L17,"&lt;&gt;" &amp; "")&gt;0,NOT(ISBLANK(E17)))</formula>
    </cfRule>
  </conditionalFormatting>
  <conditionalFormatting sqref="E26">
    <cfRule type="expression" dxfId="742" priority="31">
      <formula>COUNTIF(G26:L26,"&lt;&gt;" &amp; "")&gt;0</formula>
    </cfRule>
    <cfRule type="expression" dxfId="741" priority="32">
      <formula>AND(COUNTIF(G26:L26,"&lt;&gt;" &amp; "")&gt;0,NOT(ISBLANK(E26)))</formula>
    </cfRule>
  </conditionalFormatting>
  <conditionalFormatting sqref="E29">
    <cfRule type="expression" dxfId="740" priority="33">
      <formula>COUNTIF(G29:L29,"&lt;&gt;" &amp; "")&gt;0</formula>
    </cfRule>
    <cfRule type="expression" dxfId="739" priority="34">
      <formula>AND(COUNTIF(G29:L29,"&lt;&gt;" &amp; "")&gt;0,NOT(ISBLANK(E29)))</formula>
    </cfRule>
  </conditionalFormatting>
  <conditionalFormatting sqref="E32">
    <cfRule type="expression" dxfId="738" priority="35">
      <formula>COUNTIF(G32:L32,"&lt;&gt;" &amp; "")&gt;0</formula>
    </cfRule>
    <cfRule type="expression" dxfId="737" priority="36">
      <formula>AND(COUNTIF(G32:L32,"&lt;&gt;" &amp; "")&gt;0,NOT(ISBLANK(E32)))</formula>
    </cfRule>
  </conditionalFormatting>
  <conditionalFormatting sqref="E47">
    <cfRule type="expression" dxfId="736" priority="15">
      <formula>COUNTIF(G47:L47,"&lt;&gt;" &amp; "")&gt;0</formula>
    </cfRule>
    <cfRule type="expression" dxfId="735" priority="16">
      <formula>AND(COUNTIF(G47:L47,"&lt;&gt;" &amp; "")&gt;0,NOT(ISBLANK(E47)))</formula>
    </cfRule>
  </conditionalFormatting>
  <conditionalFormatting sqref="E50">
    <cfRule type="expression" dxfId="734" priority="17">
      <formula>COUNTIF(G50:L50,"&lt;&gt;" &amp; "")&gt;0</formula>
    </cfRule>
    <cfRule type="expression" dxfId="733" priority="18">
      <formula>AND(COUNTIF(G50:L50,"&lt;&gt;" &amp; "")&gt;0,NOT(ISBLANK(E50)))</formula>
    </cfRule>
  </conditionalFormatting>
  <conditionalFormatting sqref="E53">
    <cfRule type="expression" dxfId="732" priority="19">
      <formula>COUNTIF(G53:L53,"&lt;&gt;" &amp; "")&gt;0</formula>
    </cfRule>
    <cfRule type="expression" dxfId="731" priority="20">
      <formula>AND(COUNTIF(G53:L53,"&lt;&gt;" &amp; "")&gt;0,NOT(ISBLANK(E53)))</formula>
    </cfRule>
  </conditionalFormatting>
  <conditionalFormatting sqref="E57">
    <cfRule type="expression" dxfId="730" priority="5">
      <formula>COUNTIF(G57:L57,"&lt;&gt;" &amp; "")&gt;0</formula>
    </cfRule>
    <cfRule type="expression" dxfId="729" priority="6">
      <formula>AND(COUNTIF(G57:L57,"&lt;&gt;" &amp; "")&gt;0,NOT(ISBLANK(E57)))</formula>
    </cfRule>
  </conditionalFormatting>
  <conditionalFormatting sqref="E60">
    <cfRule type="expression" dxfId="728" priority="7">
      <formula>COUNTIF(G60:L60,"&lt;&gt;" &amp; "")&gt;0</formula>
    </cfRule>
    <cfRule type="expression" dxfId="727" priority="8">
      <formula>AND(COUNTIF(G60:L60,"&lt;&gt;" &amp; "")&gt;0,NOT(ISBLANK(E60)))</formula>
    </cfRule>
  </conditionalFormatting>
  <dataValidations count="2">
    <dataValidation type="list" allowBlank="1" showInputMessage="1" showErrorMessage="1" sqref="C2 C44 C41 C35 C32 C29 C26 C23 C20 C8 C5 C38 C11 C57 C60 C17 C14" xr:uid="{00000000-0002-0000-0200-000000000000}">
      <formula1>"Proportion"</formula1>
    </dataValidation>
    <dataValidation type="list" allowBlank="1" showInputMessage="1" showErrorMessage="1" sqref="C47 C53 C50" xr:uid="{1E93845A-1688-40BB-A81C-BAC747B3F263}">
      <formula1>"Number"</formula1>
    </dataValidation>
  </dataValidation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AA41"/>
  <sheetViews>
    <sheetView topLeftCell="A16" workbookViewId="0">
      <selection activeCell="AA1" sqref="A1:AA1048576"/>
    </sheetView>
  </sheetViews>
  <sheetFormatPr defaultRowHeight="14.5" x14ac:dyDescent="0.35"/>
  <cols>
    <col min="1" max="1" width="138.1796875" style="15" customWidth="1"/>
    <col min="2" max="2" width="30.26953125" style="15" customWidth="1"/>
    <col min="3" max="3" width="12.7265625" style="15" customWidth="1"/>
    <col min="4" max="4" width="13.81640625" style="15" customWidth="1"/>
    <col min="5" max="5" width="10.54296875" style="15" customWidth="1"/>
    <col min="6" max="6" width="3.81640625" style="15" customWidth="1"/>
    <col min="7" max="12" width="9.453125" style="15" customWidth="1"/>
    <col min="13" max="27" width="8.7265625" style="15"/>
  </cols>
  <sheetData>
    <row r="1" spans="1:27" x14ac:dyDescent="0.35">
      <c r="A1" s="14" t="s">
        <v>65</v>
      </c>
      <c r="B1" s="14" t="s">
        <v>28</v>
      </c>
      <c r="C1" s="14" t="s">
        <v>29</v>
      </c>
      <c r="D1" s="14" t="s">
        <v>30</v>
      </c>
      <c r="E1" s="14" t="s">
        <v>31</v>
      </c>
      <c r="F1" s="14"/>
      <c r="G1" s="14">
        <v>2020</v>
      </c>
      <c r="H1" s="14">
        <v>2021</v>
      </c>
      <c r="I1" s="14">
        <v>2022</v>
      </c>
      <c r="J1" s="14">
        <v>2023</v>
      </c>
      <c r="K1" s="14">
        <v>2024</v>
      </c>
      <c r="L1" s="14">
        <v>2025</v>
      </c>
    </row>
    <row r="2" spans="1:27" x14ac:dyDescent="0.35">
      <c r="A2" s="14" t="str">
        <f>'Population Definitions'!$A$5</f>
        <v>hm_hm</v>
      </c>
      <c r="B2" s="15" t="s">
        <v>32</v>
      </c>
      <c r="C2" s="15" t="s">
        <v>36</v>
      </c>
      <c r="D2" s="16"/>
      <c r="E2" s="16">
        <v>0</v>
      </c>
      <c r="F2" s="17" t="s">
        <v>34</v>
      </c>
      <c r="G2" s="16"/>
      <c r="H2" s="16"/>
      <c r="I2" s="16"/>
      <c r="J2" s="16"/>
      <c r="K2" s="16"/>
      <c r="L2" s="16"/>
    </row>
    <row r="4" spans="1:27" x14ac:dyDescent="0.35">
      <c r="A4" s="14" t="s">
        <v>215</v>
      </c>
      <c r="B4" s="14" t="s">
        <v>28</v>
      </c>
      <c r="C4" s="14" t="s">
        <v>29</v>
      </c>
      <c r="D4" s="14" t="s">
        <v>30</v>
      </c>
      <c r="E4" s="14" t="s">
        <v>31</v>
      </c>
      <c r="F4" s="14"/>
      <c r="G4" s="14">
        <v>2020</v>
      </c>
      <c r="H4" s="14">
        <v>2021</v>
      </c>
      <c r="I4" s="14">
        <v>2022</v>
      </c>
      <c r="J4" s="14">
        <v>2023</v>
      </c>
      <c r="K4" s="14">
        <v>2024</v>
      </c>
      <c r="L4" s="14">
        <v>2025</v>
      </c>
    </row>
    <row r="5" spans="1:27" x14ac:dyDescent="0.35">
      <c r="A5" s="14" t="str">
        <f>'Population Definitions'!$A$5</f>
        <v>hm_hm</v>
      </c>
      <c r="B5" s="15" t="s">
        <v>32</v>
      </c>
      <c r="C5" s="15" t="s">
        <v>36</v>
      </c>
      <c r="D5" s="16"/>
      <c r="E5" s="16">
        <v>1.49</v>
      </c>
      <c r="F5" s="17" t="s">
        <v>34</v>
      </c>
      <c r="G5" s="16"/>
      <c r="H5" s="16"/>
      <c r="I5" s="16"/>
      <c r="J5" s="16"/>
      <c r="K5" s="16"/>
      <c r="L5" s="16"/>
    </row>
    <row r="7" spans="1:27" x14ac:dyDescent="0.35">
      <c r="A7" s="14" t="s">
        <v>66</v>
      </c>
      <c r="B7" s="14" t="s">
        <v>28</v>
      </c>
      <c r="C7" s="14" t="s">
        <v>29</v>
      </c>
      <c r="D7" s="14" t="s">
        <v>30</v>
      </c>
      <c r="E7" s="14" t="s">
        <v>31</v>
      </c>
      <c r="F7" s="14"/>
      <c r="G7" s="14">
        <v>2020</v>
      </c>
      <c r="H7" s="14">
        <v>2021</v>
      </c>
      <c r="I7" s="14">
        <v>2022</v>
      </c>
      <c r="J7" s="14">
        <v>2023</v>
      </c>
      <c r="K7" s="14">
        <v>2024</v>
      </c>
      <c r="L7" s="14">
        <v>2025</v>
      </c>
    </row>
    <row r="8" spans="1:27" x14ac:dyDescent="0.35">
      <c r="A8" s="14" t="str">
        <f>'Population Definitions'!$A$5</f>
        <v>hm_hm</v>
      </c>
      <c r="B8" s="15" t="s">
        <v>32</v>
      </c>
      <c r="C8" s="15" t="s">
        <v>36</v>
      </c>
      <c r="D8" s="16"/>
      <c r="E8" s="16">
        <v>2.98</v>
      </c>
      <c r="F8" s="17" t="s">
        <v>34</v>
      </c>
      <c r="G8" s="16"/>
      <c r="H8" s="16"/>
      <c r="I8" s="16"/>
      <c r="J8" s="16"/>
      <c r="K8" s="16"/>
      <c r="L8" s="16"/>
    </row>
    <row r="10" spans="1:27" x14ac:dyDescent="0.35">
      <c r="A10" s="14" t="s">
        <v>67</v>
      </c>
      <c r="B10" s="14" t="s">
        <v>28</v>
      </c>
      <c r="C10" s="14" t="s">
        <v>29</v>
      </c>
      <c r="D10" s="14" t="s">
        <v>30</v>
      </c>
      <c r="E10" s="14" t="s">
        <v>31</v>
      </c>
      <c r="F10" s="14"/>
      <c r="G10" s="14">
        <v>2020</v>
      </c>
      <c r="H10" s="14">
        <v>2021</v>
      </c>
      <c r="I10" s="14">
        <v>2022</v>
      </c>
      <c r="J10" s="14">
        <v>2023</v>
      </c>
      <c r="K10" s="14">
        <v>2024</v>
      </c>
      <c r="L10" s="14">
        <v>2025</v>
      </c>
    </row>
    <row r="11" spans="1:27" x14ac:dyDescent="0.35">
      <c r="A11" s="14" t="str">
        <f>'Population Definitions'!$A$5</f>
        <v>hm_hm</v>
      </c>
      <c r="B11" s="15" t="s">
        <v>32</v>
      </c>
      <c r="C11" s="15" t="s">
        <v>36</v>
      </c>
      <c r="D11" s="16"/>
      <c r="E11" s="16">
        <v>2.44</v>
      </c>
      <c r="F11" s="17" t="s">
        <v>34</v>
      </c>
      <c r="G11" s="16"/>
      <c r="H11" s="16"/>
      <c r="I11" s="16"/>
      <c r="J11" s="16"/>
      <c r="K11" s="16"/>
      <c r="L11" s="16"/>
    </row>
    <row r="13" spans="1:27" s="10" customFormat="1" x14ac:dyDescent="0.35">
      <c r="A13" s="14" t="s">
        <v>68</v>
      </c>
      <c r="B13" s="14" t="s">
        <v>28</v>
      </c>
      <c r="C13" s="14" t="s">
        <v>29</v>
      </c>
      <c r="D13" s="14" t="s">
        <v>30</v>
      </c>
      <c r="E13" s="14" t="s">
        <v>31</v>
      </c>
      <c r="F13" s="14"/>
      <c r="G13" s="14">
        <v>2020</v>
      </c>
      <c r="H13" s="14">
        <v>2021</v>
      </c>
      <c r="I13" s="14">
        <v>2022</v>
      </c>
      <c r="J13" s="14">
        <v>2023</v>
      </c>
      <c r="K13" s="14">
        <v>2024</v>
      </c>
      <c r="L13" s="14">
        <v>2025</v>
      </c>
      <c r="M13" s="15"/>
      <c r="N13" s="15"/>
      <c r="O13" s="15"/>
      <c r="P13" s="15"/>
      <c r="Q13" s="15"/>
      <c r="R13" s="15"/>
      <c r="S13" s="15"/>
      <c r="T13" s="15"/>
      <c r="U13" s="15"/>
      <c r="V13" s="15"/>
      <c r="W13" s="15"/>
      <c r="X13" s="15"/>
      <c r="Y13" s="15"/>
      <c r="Z13" s="15"/>
      <c r="AA13" s="15"/>
    </row>
    <row r="14" spans="1:27" x14ac:dyDescent="0.35">
      <c r="A14" s="14" t="str">
        <f>'Population Definitions'!$A$5</f>
        <v>hm_hm</v>
      </c>
      <c r="B14" s="15" t="s">
        <v>32</v>
      </c>
      <c r="C14" s="15" t="s">
        <v>36</v>
      </c>
      <c r="D14" s="16"/>
      <c r="E14" s="18">
        <v>5.1014828999999998E-2</v>
      </c>
      <c r="F14" s="17" t="s">
        <v>34</v>
      </c>
      <c r="G14" s="18"/>
      <c r="H14" s="16"/>
      <c r="I14" s="16"/>
      <c r="J14" s="16"/>
      <c r="K14" s="16"/>
      <c r="L14" s="16"/>
    </row>
    <row r="16" spans="1:27" x14ac:dyDescent="0.35">
      <c r="A16" s="14" t="s">
        <v>69</v>
      </c>
      <c r="B16" s="14" t="s">
        <v>28</v>
      </c>
      <c r="C16" s="14" t="s">
        <v>29</v>
      </c>
      <c r="D16" s="14" t="s">
        <v>30</v>
      </c>
      <c r="E16" s="14" t="s">
        <v>31</v>
      </c>
      <c r="F16" s="14"/>
      <c r="G16" s="14">
        <v>2020</v>
      </c>
      <c r="H16" s="14">
        <v>2021</v>
      </c>
      <c r="I16" s="14">
        <v>2022</v>
      </c>
      <c r="J16" s="14">
        <v>2023</v>
      </c>
      <c r="K16" s="14">
        <v>2024</v>
      </c>
      <c r="L16" s="14">
        <v>2025</v>
      </c>
    </row>
    <row r="17" spans="1:27" x14ac:dyDescent="0.35">
      <c r="A17" s="14" t="str">
        <f>'Population Definitions'!$A$5</f>
        <v>hm_hm</v>
      </c>
      <c r="B17" s="15" t="s">
        <v>32</v>
      </c>
      <c r="C17" s="15" t="s">
        <v>36</v>
      </c>
      <c r="D17" s="16"/>
      <c r="E17" s="16">
        <v>0.56999999999999995</v>
      </c>
      <c r="F17" s="17" t="s">
        <v>34</v>
      </c>
      <c r="G17" s="16"/>
      <c r="H17" s="16"/>
      <c r="I17" s="16"/>
      <c r="J17" s="16"/>
      <c r="K17" s="16"/>
      <c r="L17" s="16"/>
    </row>
    <row r="19" spans="1:27" x14ac:dyDescent="0.35">
      <c r="A19" s="14" t="s">
        <v>70</v>
      </c>
      <c r="B19" s="14" t="s">
        <v>28</v>
      </c>
      <c r="C19" s="14" t="s">
        <v>29</v>
      </c>
      <c r="D19" s="14" t="s">
        <v>30</v>
      </c>
      <c r="E19" s="14" t="s">
        <v>31</v>
      </c>
      <c r="F19" s="14"/>
      <c r="G19" s="14">
        <v>2020</v>
      </c>
      <c r="H19" s="14">
        <v>2021</v>
      </c>
      <c r="I19" s="14">
        <v>2022</v>
      </c>
      <c r="J19" s="14">
        <v>2023</v>
      </c>
      <c r="K19" s="14">
        <v>2024</v>
      </c>
      <c r="L19" s="14">
        <v>2025</v>
      </c>
    </row>
    <row r="20" spans="1:27" x14ac:dyDescent="0.35">
      <c r="A20" s="14" t="str">
        <f>'Population Definitions'!$A$5</f>
        <v>hm_hm</v>
      </c>
      <c r="B20" s="15" t="s">
        <v>32</v>
      </c>
      <c r="C20" s="15" t="s">
        <v>36</v>
      </c>
      <c r="D20" s="16"/>
      <c r="E20" s="16">
        <v>0.41</v>
      </c>
      <c r="F20" s="17" t="s">
        <v>34</v>
      </c>
      <c r="G20" s="16"/>
      <c r="H20" s="16"/>
      <c r="I20" s="16"/>
      <c r="J20" s="16"/>
      <c r="K20" s="16"/>
      <c r="L20" s="16"/>
    </row>
    <row r="22" spans="1:27" x14ac:dyDescent="0.35">
      <c r="A22" s="14" t="s">
        <v>71</v>
      </c>
      <c r="B22" s="14" t="s">
        <v>28</v>
      </c>
      <c r="C22" s="14" t="s">
        <v>29</v>
      </c>
      <c r="D22" s="14" t="s">
        <v>30</v>
      </c>
      <c r="E22" s="14" t="s">
        <v>31</v>
      </c>
      <c r="F22" s="14"/>
      <c r="G22" s="14">
        <v>2020</v>
      </c>
      <c r="H22" s="14">
        <v>2021</v>
      </c>
      <c r="I22" s="14">
        <v>2022</v>
      </c>
      <c r="J22" s="14">
        <v>2023</v>
      </c>
      <c r="K22" s="14">
        <v>2024</v>
      </c>
      <c r="L22" s="14">
        <v>2025</v>
      </c>
      <c r="M22" s="14">
        <v>2026</v>
      </c>
      <c r="N22" s="14">
        <v>2027</v>
      </c>
      <c r="O22" s="14">
        <v>2028</v>
      </c>
      <c r="P22" s="14">
        <v>2029</v>
      </c>
      <c r="Q22" s="14">
        <v>2030</v>
      </c>
      <c r="R22" s="14">
        <v>2031</v>
      </c>
      <c r="S22" s="14">
        <v>2032</v>
      </c>
      <c r="T22" s="14">
        <v>2033</v>
      </c>
      <c r="U22" s="14">
        <v>2034</v>
      </c>
      <c r="V22" s="14">
        <v>2035</v>
      </c>
      <c r="W22" s="14">
        <v>2036</v>
      </c>
      <c r="X22" s="14">
        <v>2037</v>
      </c>
      <c r="Y22" s="14">
        <v>2038</v>
      </c>
      <c r="Z22" s="14">
        <v>2039</v>
      </c>
      <c r="AA22" s="14">
        <v>2040</v>
      </c>
    </row>
    <row r="23" spans="1:27" x14ac:dyDescent="0.35">
      <c r="A23" s="14" t="str">
        <f>'Population Definitions'!$A$5</f>
        <v>hm_hm</v>
      </c>
      <c r="B23" s="15" t="s">
        <v>32</v>
      </c>
      <c r="C23" s="15" t="s">
        <v>36</v>
      </c>
      <c r="D23" s="16"/>
      <c r="E23" s="16">
        <v>0.5</v>
      </c>
      <c r="F23" s="17" t="s">
        <v>34</v>
      </c>
      <c r="G23" s="16"/>
      <c r="H23" s="16"/>
      <c r="I23" s="16"/>
      <c r="J23" s="16"/>
      <c r="K23" s="16"/>
      <c r="L23" s="16"/>
      <c r="M23" s="16"/>
      <c r="N23" s="16"/>
      <c r="O23" s="16"/>
      <c r="P23" s="16"/>
      <c r="Q23" s="16"/>
      <c r="R23" s="16"/>
      <c r="S23" s="16"/>
      <c r="T23" s="16"/>
      <c r="U23" s="16"/>
      <c r="V23" s="16"/>
      <c r="W23" s="16"/>
      <c r="X23" s="16"/>
      <c r="Y23" s="16"/>
      <c r="Z23" s="16"/>
      <c r="AA23" s="16"/>
    </row>
    <row r="25" spans="1:27" s="10" customFormat="1" x14ac:dyDescent="0.35">
      <c r="A25" s="14" t="s">
        <v>72</v>
      </c>
      <c r="B25" s="14" t="s">
        <v>28</v>
      </c>
      <c r="C25" s="14" t="s">
        <v>29</v>
      </c>
      <c r="D25" s="14" t="s">
        <v>30</v>
      </c>
      <c r="E25" s="14" t="s">
        <v>31</v>
      </c>
      <c r="F25" s="14"/>
      <c r="G25" s="14">
        <v>2020</v>
      </c>
      <c r="H25" s="14">
        <v>2021</v>
      </c>
      <c r="I25" s="14">
        <v>2022</v>
      </c>
      <c r="J25" s="14">
        <v>2023</v>
      </c>
      <c r="K25" s="14">
        <v>2024</v>
      </c>
      <c r="L25" s="14">
        <v>2025</v>
      </c>
      <c r="M25" s="15"/>
      <c r="N25" s="15"/>
      <c r="O25" s="15"/>
      <c r="P25" s="15"/>
      <c r="Q25" s="15"/>
      <c r="R25" s="15"/>
      <c r="S25" s="15"/>
      <c r="T25" s="15"/>
      <c r="U25" s="15"/>
      <c r="V25" s="15"/>
      <c r="W25" s="15"/>
      <c r="X25" s="15"/>
      <c r="Y25" s="15"/>
      <c r="Z25" s="15"/>
      <c r="AA25" s="15"/>
    </row>
    <row r="26" spans="1:27" x14ac:dyDescent="0.35">
      <c r="A26" s="14" t="str">
        <f>'Population Definitions'!$A$5</f>
        <v>hm_hm</v>
      </c>
      <c r="B26" s="15" t="s">
        <v>32</v>
      </c>
      <c r="C26" s="15" t="s">
        <v>36</v>
      </c>
      <c r="D26" s="16"/>
      <c r="E26" s="18">
        <v>4.1000000000000003E-3</v>
      </c>
      <c r="F26" s="17" t="s">
        <v>34</v>
      </c>
      <c r="G26" s="18"/>
      <c r="H26" s="16"/>
      <c r="I26" s="16"/>
      <c r="J26" s="16"/>
      <c r="K26" s="16"/>
      <c r="L26" s="16"/>
    </row>
    <row r="28" spans="1:27" s="10" customFormat="1" x14ac:dyDescent="0.35">
      <c r="A28" s="14" t="s">
        <v>73</v>
      </c>
      <c r="B28" s="14" t="s">
        <v>28</v>
      </c>
      <c r="C28" s="14" t="s">
        <v>29</v>
      </c>
      <c r="D28" s="14" t="s">
        <v>30</v>
      </c>
      <c r="E28" s="14" t="s">
        <v>31</v>
      </c>
      <c r="F28" s="14"/>
      <c r="G28" s="14">
        <v>2020</v>
      </c>
      <c r="H28" s="14">
        <v>2021</v>
      </c>
      <c r="I28" s="14">
        <v>2022</v>
      </c>
      <c r="J28" s="14">
        <v>2023</v>
      </c>
      <c r="K28" s="14">
        <v>2024</v>
      </c>
      <c r="L28" s="14">
        <v>2025</v>
      </c>
      <c r="M28" s="15"/>
      <c r="N28" s="15"/>
      <c r="O28" s="15"/>
      <c r="P28" s="15"/>
      <c r="Q28" s="15"/>
      <c r="R28" s="15"/>
      <c r="S28" s="15"/>
      <c r="T28" s="15"/>
      <c r="U28" s="15"/>
      <c r="V28" s="15"/>
      <c r="W28" s="15"/>
      <c r="X28" s="15"/>
      <c r="Y28" s="15"/>
      <c r="Z28" s="15"/>
      <c r="AA28" s="15"/>
    </row>
    <row r="29" spans="1:27" x14ac:dyDescent="0.35">
      <c r="A29" s="14" t="str">
        <f>'Population Definitions'!$A$5</f>
        <v>hm_hm</v>
      </c>
      <c r="B29" s="15" t="s">
        <v>32</v>
      </c>
      <c r="C29" s="15" t="s">
        <v>36</v>
      </c>
      <c r="D29" s="16"/>
      <c r="E29" s="24">
        <v>1.8450000000000001E-2</v>
      </c>
      <c r="F29" s="17" t="s">
        <v>34</v>
      </c>
      <c r="G29" s="18"/>
      <c r="H29" s="16"/>
      <c r="I29" s="16"/>
      <c r="J29" s="16"/>
      <c r="K29" s="16"/>
      <c r="L29" s="16"/>
    </row>
    <row r="31" spans="1:27" x14ac:dyDescent="0.35">
      <c r="A31" s="14" t="s">
        <v>216</v>
      </c>
      <c r="B31" s="14" t="s">
        <v>28</v>
      </c>
      <c r="C31" s="14" t="s">
        <v>29</v>
      </c>
      <c r="D31" s="14" t="s">
        <v>30</v>
      </c>
      <c r="E31" s="14" t="s">
        <v>31</v>
      </c>
      <c r="F31" s="14"/>
      <c r="G31" s="14">
        <v>2020</v>
      </c>
      <c r="H31" s="14">
        <v>2021</v>
      </c>
      <c r="I31" s="14">
        <v>2022</v>
      </c>
      <c r="J31" s="14">
        <v>2023</v>
      </c>
      <c r="K31" s="14">
        <v>2024</v>
      </c>
      <c r="L31" s="14">
        <v>2025</v>
      </c>
    </row>
    <row r="32" spans="1:27" x14ac:dyDescent="0.35">
      <c r="A32" s="14" t="str">
        <f>'Population Definitions'!$A$5</f>
        <v>hm_hm</v>
      </c>
      <c r="B32" s="15" t="s">
        <v>32</v>
      </c>
      <c r="C32" s="15" t="s">
        <v>36</v>
      </c>
      <c r="D32" s="16"/>
      <c r="E32" s="19">
        <v>2.3E-2</v>
      </c>
      <c r="F32" s="17" t="s">
        <v>34</v>
      </c>
      <c r="G32" s="16"/>
      <c r="H32" s="16"/>
      <c r="I32" s="16"/>
      <c r="J32" s="16"/>
      <c r="K32" s="16"/>
      <c r="L32" s="16"/>
    </row>
    <row r="34" spans="1:12" x14ac:dyDescent="0.35">
      <c r="A34" s="14" t="s">
        <v>217</v>
      </c>
      <c r="B34" s="14" t="s">
        <v>28</v>
      </c>
      <c r="C34" s="14" t="s">
        <v>29</v>
      </c>
      <c r="D34" s="14" t="s">
        <v>30</v>
      </c>
      <c r="E34" s="14" t="s">
        <v>31</v>
      </c>
      <c r="F34" s="14"/>
      <c r="G34" s="14">
        <v>2020</v>
      </c>
      <c r="H34" s="14">
        <v>2021</v>
      </c>
      <c r="I34" s="14">
        <v>2022</v>
      </c>
      <c r="J34" s="14">
        <v>2023</v>
      </c>
      <c r="K34" s="14">
        <v>2024</v>
      </c>
      <c r="L34" s="14">
        <v>2025</v>
      </c>
    </row>
    <row r="35" spans="1:12" x14ac:dyDescent="0.35">
      <c r="A35" s="14" t="str">
        <f>'Population Definitions'!$A$5</f>
        <v>hm_hm</v>
      </c>
      <c r="B35" s="15" t="s">
        <v>32</v>
      </c>
      <c r="C35" s="15" t="s">
        <v>36</v>
      </c>
      <c r="D35" s="16"/>
      <c r="E35" s="19">
        <v>0.13200000000000001</v>
      </c>
      <c r="F35" s="17" t="s">
        <v>34</v>
      </c>
      <c r="G35" s="16"/>
      <c r="H35" s="16"/>
      <c r="I35" s="16"/>
      <c r="J35" s="16"/>
      <c r="K35" s="16"/>
      <c r="L35" s="16"/>
    </row>
    <row r="37" spans="1:12" x14ac:dyDescent="0.35">
      <c r="A37" s="14" t="s">
        <v>196</v>
      </c>
      <c r="B37" s="14" t="s">
        <v>28</v>
      </c>
      <c r="C37" s="14" t="s">
        <v>29</v>
      </c>
      <c r="D37" s="14" t="s">
        <v>30</v>
      </c>
      <c r="E37" s="14" t="s">
        <v>31</v>
      </c>
      <c r="F37" s="14"/>
      <c r="G37" s="14">
        <v>2020</v>
      </c>
      <c r="H37" s="14">
        <v>2021</v>
      </c>
      <c r="I37" s="14">
        <v>2022</v>
      </c>
      <c r="J37" s="14">
        <v>2023</v>
      </c>
      <c r="K37" s="14">
        <v>2024</v>
      </c>
      <c r="L37" s="14">
        <v>2025</v>
      </c>
    </row>
    <row r="38" spans="1:12" x14ac:dyDescent="0.35">
      <c r="A38" s="14" t="str">
        <f>'[1]Population Definitions'!$A$5</f>
        <v>hm_hm</v>
      </c>
      <c r="C38" s="15" t="s">
        <v>64</v>
      </c>
      <c r="D38" s="16"/>
      <c r="E38" s="20">
        <v>3113735</v>
      </c>
      <c r="F38" s="17" t="s">
        <v>34</v>
      </c>
      <c r="G38" s="23"/>
      <c r="H38" s="23"/>
      <c r="I38" s="23"/>
      <c r="J38" s="23"/>
      <c r="K38" s="23"/>
      <c r="L38" s="23"/>
    </row>
    <row r="40" spans="1:12" x14ac:dyDescent="0.35">
      <c r="A40" s="14" t="s">
        <v>197</v>
      </c>
      <c r="B40" s="14" t="s">
        <v>28</v>
      </c>
      <c r="C40" s="14" t="s">
        <v>29</v>
      </c>
      <c r="D40" s="14" t="s">
        <v>30</v>
      </c>
      <c r="E40" s="14" t="s">
        <v>31</v>
      </c>
      <c r="F40" s="14"/>
      <c r="G40" s="14">
        <v>2020</v>
      </c>
      <c r="H40" s="14">
        <v>2021</v>
      </c>
      <c r="I40" s="14">
        <v>2022</v>
      </c>
      <c r="J40" s="14">
        <v>2023</v>
      </c>
      <c r="K40" s="14">
        <v>2024</v>
      </c>
      <c r="L40" s="14">
        <v>2025</v>
      </c>
    </row>
    <row r="41" spans="1:12" x14ac:dyDescent="0.35">
      <c r="A41" s="14" t="str">
        <f>'[1]Population Definitions'!$A$5</f>
        <v>hm_hm</v>
      </c>
      <c r="C41" s="15" t="s">
        <v>64</v>
      </c>
      <c r="D41" s="16"/>
      <c r="E41" s="15">
        <v>21506.5</v>
      </c>
      <c r="F41" s="17" t="s">
        <v>34</v>
      </c>
      <c r="G41" s="23"/>
      <c r="H41" s="23"/>
      <c r="I41" s="23"/>
      <c r="J41" s="23"/>
      <c r="K41" s="23"/>
      <c r="L41" s="23"/>
    </row>
  </sheetData>
  <conditionalFormatting sqref="E2">
    <cfRule type="expression" dxfId="726" priority="11">
      <formula>COUNTIF(G2:L2,"&lt;&gt;" &amp; "")&gt;0</formula>
    </cfRule>
    <cfRule type="expression" dxfId="725" priority="12">
      <formula>AND(COUNTIF(G2:L2,"&lt;&gt;" &amp; "")&gt;0,NOT(ISBLANK(E2)))</formula>
    </cfRule>
  </conditionalFormatting>
  <conditionalFormatting sqref="E5">
    <cfRule type="expression" dxfId="724" priority="15">
      <formula>COUNTIF(G5:L5,"&lt;&gt;" &amp; "")&gt;0</formula>
    </cfRule>
    <cfRule type="expression" dxfId="723" priority="16">
      <formula>AND(COUNTIF(G5:L5,"&lt;&gt;" &amp; "")&gt;0,NOT(ISBLANK(E5)))</formula>
    </cfRule>
  </conditionalFormatting>
  <conditionalFormatting sqref="E8">
    <cfRule type="expression" dxfId="722" priority="17">
      <formula>COUNTIF(G8:L8,"&lt;&gt;" &amp; "")&gt;0</formula>
    </cfRule>
    <cfRule type="expression" dxfId="721" priority="18">
      <formula>AND(COUNTIF(G8:L8,"&lt;&gt;" &amp; "")&gt;0,NOT(ISBLANK(E8)))</formula>
    </cfRule>
  </conditionalFormatting>
  <conditionalFormatting sqref="E11">
    <cfRule type="expression" dxfId="720" priority="3">
      <formula>COUNTIF(G11:L11,"&lt;&gt;" &amp; "")&gt;0</formula>
    </cfRule>
    <cfRule type="expression" dxfId="719" priority="4">
      <formula>AND(COUNTIF(G11:L11,"&lt;&gt;" &amp; "")&gt;0,NOT(ISBLANK(E11)))</formula>
    </cfRule>
  </conditionalFormatting>
  <conditionalFormatting sqref="E17">
    <cfRule type="expression" dxfId="718" priority="23">
      <formula>COUNTIF(G17:L17,"&lt;&gt;" &amp; "")&gt;0</formula>
    </cfRule>
    <cfRule type="expression" dxfId="717" priority="24">
      <formula>AND(COUNTIF(G17:L17,"&lt;&gt;" &amp; "")&gt;0,NOT(ISBLANK(E17)))</formula>
    </cfRule>
  </conditionalFormatting>
  <conditionalFormatting sqref="E20">
    <cfRule type="expression" dxfId="716" priority="25">
      <formula>COUNTIF(G20:L20,"&lt;&gt;" &amp; "")&gt;0</formula>
    </cfRule>
    <cfRule type="expression" dxfId="715" priority="26">
      <formula>AND(COUNTIF(G20:L20,"&lt;&gt;" &amp; "")&gt;0,NOT(ISBLANK(E20)))</formula>
    </cfRule>
  </conditionalFormatting>
  <conditionalFormatting sqref="E23">
    <cfRule type="expression" dxfId="714" priority="27">
      <formula>COUNTIF(G23:L23,"&lt;&gt;" &amp; "")&gt;0</formula>
    </cfRule>
    <cfRule type="expression" dxfId="713" priority="28">
      <formula>AND(COUNTIF(G23:L23,"&lt;&gt;" &amp; "")&gt;0,NOT(ISBLANK(E23)))</formula>
    </cfRule>
  </conditionalFormatting>
  <conditionalFormatting sqref="E38">
    <cfRule type="expression" dxfId="712" priority="5">
      <formula>COUNTIF(G38:L38,"&lt;&gt;" &amp; "")&gt;0</formula>
    </cfRule>
    <cfRule type="expression" dxfId="711" priority="6">
      <formula>AND(COUNTIF(G38:L38,"&lt;&gt;" &amp; "")&gt;0,NOT(ISBLANK(E38)))</formula>
    </cfRule>
  </conditionalFormatting>
  <conditionalFormatting sqref="E41">
    <cfRule type="expression" dxfId="710" priority="7">
      <formula>COUNTIF(G41:L41,"&lt;&gt;" &amp; "")&gt;0</formula>
    </cfRule>
    <cfRule type="expression" dxfId="709" priority="8">
      <formula>AND(COUNTIF(G41:L41,"&lt;&gt;" &amp; "")&gt;0,NOT(ISBLANK(E41)))</formula>
    </cfRule>
  </conditionalFormatting>
  <conditionalFormatting sqref="G23:I23 K23 M23 O23 Q23:AA23">
    <cfRule type="expression" dxfId="708" priority="1">
      <formula>COUNTIF(I23:N23,"&lt;&gt;" &amp; "")&gt;0</formula>
    </cfRule>
    <cfRule type="expression" dxfId="707" priority="2">
      <formula>AND(COUNTIF(I23:N23,"&lt;&gt;" &amp; "")&gt;0,NOT(ISBLANK(G23)))</formula>
    </cfRule>
  </conditionalFormatting>
  <dataValidations count="2">
    <dataValidation type="list" allowBlank="1" showInputMessage="1" showErrorMessage="1" sqref="C41 C38" xr:uid="{00000000-0002-0000-0400-000000000000}">
      <formula1>"Number"</formula1>
    </dataValidation>
    <dataValidation type="list" allowBlank="1" showInputMessage="1" showErrorMessage="1" sqref="C2 C35 C32 C29 C26 C23 C20 C17 C14 C11 C8 C5" xr:uid="{00000000-0002-0000-0400-000001000000}">
      <formula1>"Proportion"</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L62"/>
  <sheetViews>
    <sheetView topLeftCell="A40" workbookViewId="0">
      <selection sqref="A1:L1048576"/>
    </sheetView>
  </sheetViews>
  <sheetFormatPr defaultRowHeight="14.5" x14ac:dyDescent="0.35"/>
  <cols>
    <col min="1" max="1" width="109.26953125" style="15" customWidth="1"/>
    <col min="2" max="2" width="30.26953125" style="15" customWidth="1"/>
    <col min="3" max="3" width="12.7265625" style="15" customWidth="1"/>
    <col min="4" max="4" width="13.81640625" style="15" customWidth="1"/>
    <col min="5" max="5" width="10.54296875" style="15" customWidth="1"/>
    <col min="6" max="6" width="3.81640625" style="15" customWidth="1"/>
    <col min="7" max="12" width="9.453125" style="15" customWidth="1"/>
  </cols>
  <sheetData>
    <row r="1" spans="1:12" x14ac:dyDescent="0.35">
      <c r="A1" s="14" t="s">
        <v>50</v>
      </c>
      <c r="B1" s="14" t="s">
        <v>28</v>
      </c>
      <c r="C1" s="14" t="s">
        <v>29</v>
      </c>
      <c r="D1" s="14" t="s">
        <v>30</v>
      </c>
      <c r="E1" s="14" t="s">
        <v>31</v>
      </c>
      <c r="F1" s="14"/>
      <c r="G1" s="14">
        <v>2020</v>
      </c>
      <c r="H1" s="14">
        <v>2021</v>
      </c>
      <c r="I1" s="14">
        <v>2022</v>
      </c>
      <c r="J1" s="14">
        <v>2023</v>
      </c>
      <c r="K1" s="14">
        <v>2024</v>
      </c>
      <c r="L1" s="14">
        <v>2025</v>
      </c>
    </row>
    <row r="2" spans="1:12" x14ac:dyDescent="0.35">
      <c r="A2" s="14" t="str">
        <f>'Population Definitions'!$A$4</f>
        <v>an_hm</v>
      </c>
      <c r="B2" s="15" t="s">
        <v>32</v>
      </c>
      <c r="C2" s="15" t="s">
        <v>36</v>
      </c>
      <c r="D2" s="16"/>
      <c r="E2" s="16">
        <v>10</v>
      </c>
      <c r="F2" s="17" t="s">
        <v>34</v>
      </c>
      <c r="G2" s="16"/>
      <c r="H2" s="16"/>
      <c r="I2" s="16"/>
      <c r="J2" s="16"/>
      <c r="K2" s="16"/>
      <c r="L2" s="16"/>
    </row>
    <row r="4" spans="1:12" x14ac:dyDescent="0.35">
      <c r="A4" s="14" t="s">
        <v>280</v>
      </c>
      <c r="B4" s="14" t="s">
        <v>28</v>
      </c>
      <c r="C4" s="14" t="s">
        <v>29</v>
      </c>
      <c r="D4" s="14" t="s">
        <v>30</v>
      </c>
      <c r="E4" s="14" t="s">
        <v>31</v>
      </c>
      <c r="F4" s="14"/>
      <c r="G4" s="14">
        <v>2020</v>
      </c>
      <c r="H4" s="14">
        <v>2021</v>
      </c>
      <c r="I4" s="14">
        <v>2022</v>
      </c>
      <c r="J4" s="14">
        <v>2023</v>
      </c>
      <c r="K4" s="14">
        <v>2024</v>
      </c>
      <c r="L4" s="14">
        <v>2025</v>
      </c>
    </row>
    <row r="5" spans="1:12" x14ac:dyDescent="0.35">
      <c r="A5" s="14" t="str">
        <f>'Population Definitions'!$A$4</f>
        <v>an_hm</v>
      </c>
      <c r="B5" s="15" t="s">
        <v>32</v>
      </c>
      <c r="C5" s="15" t="s">
        <v>36</v>
      </c>
      <c r="D5" s="16"/>
      <c r="E5" s="16">
        <v>5</v>
      </c>
      <c r="F5" s="17" t="s">
        <v>34</v>
      </c>
      <c r="G5" s="16"/>
      <c r="H5" s="16"/>
      <c r="I5" s="16"/>
      <c r="J5" s="16"/>
      <c r="K5" s="16"/>
      <c r="L5" s="16"/>
    </row>
    <row r="7" spans="1:12" x14ac:dyDescent="0.35">
      <c r="A7" s="14" t="s">
        <v>281</v>
      </c>
      <c r="B7" s="14" t="s">
        <v>28</v>
      </c>
      <c r="C7" s="14" t="s">
        <v>29</v>
      </c>
      <c r="D7" s="14" t="s">
        <v>30</v>
      </c>
      <c r="E7" s="14" t="s">
        <v>31</v>
      </c>
      <c r="F7" s="14"/>
      <c r="G7" s="14">
        <v>2020</v>
      </c>
      <c r="H7" s="14">
        <v>2021</v>
      </c>
      <c r="I7" s="14">
        <v>2022</v>
      </c>
      <c r="J7" s="14">
        <v>2023</v>
      </c>
      <c r="K7" s="14">
        <v>2024</v>
      </c>
      <c r="L7" s="14">
        <v>2025</v>
      </c>
    </row>
    <row r="8" spans="1:12" x14ac:dyDescent="0.35">
      <c r="A8" s="14" t="str">
        <f>'Population Definitions'!$A$4</f>
        <v>an_hm</v>
      </c>
      <c r="B8" s="15" t="s">
        <v>32</v>
      </c>
      <c r="C8" s="15" t="s">
        <v>36</v>
      </c>
      <c r="D8" s="16"/>
      <c r="E8" s="16">
        <v>2.5</v>
      </c>
      <c r="F8" s="17" t="s">
        <v>34</v>
      </c>
      <c r="G8" s="16"/>
      <c r="H8" s="16"/>
      <c r="I8" s="16"/>
      <c r="J8" s="16"/>
      <c r="K8" s="16"/>
      <c r="L8" s="16"/>
    </row>
    <row r="10" spans="1:12" x14ac:dyDescent="0.35">
      <c r="A10" s="14" t="s">
        <v>51</v>
      </c>
      <c r="B10" s="14" t="s">
        <v>28</v>
      </c>
      <c r="C10" s="14" t="s">
        <v>29</v>
      </c>
      <c r="D10" s="14" t="s">
        <v>30</v>
      </c>
      <c r="E10" s="14" t="s">
        <v>31</v>
      </c>
      <c r="F10" s="14"/>
      <c r="G10" s="14">
        <v>2020</v>
      </c>
      <c r="H10" s="14">
        <v>2021</v>
      </c>
      <c r="I10" s="14">
        <v>2022</v>
      </c>
      <c r="J10" s="14">
        <v>2023</v>
      </c>
      <c r="K10" s="14">
        <v>2024</v>
      </c>
      <c r="L10" s="14">
        <v>2025</v>
      </c>
    </row>
    <row r="11" spans="1:12" x14ac:dyDescent="0.35">
      <c r="A11" s="14" t="str">
        <f>'Population Definitions'!$A$4</f>
        <v>an_hm</v>
      </c>
      <c r="B11" s="15" t="s">
        <v>32</v>
      </c>
      <c r="C11" s="15" t="s">
        <v>36</v>
      </c>
      <c r="D11" s="16"/>
      <c r="E11" s="16">
        <v>0.76300000000000001</v>
      </c>
      <c r="F11" s="17" t="s">
        <v>34</v>
      </c>
      <c r="G11" s="16"/>
      <c r="H11" s="16"/>
      <c r="I11" s="16"/>
      <c r="J11" s="16"/>
      <c r="K11" s="16"/>
      <c r="L11" s="16"/>
    </row>
    <row r="13" spans="1:12" x14ac:dyDescent="0.35">
      <c r="A13" s="14" t="s">
        <v>358</v>
      </c>
      <c r="B13" s="14" t="s">
        <v>28</v>
      </c>
      <c r="C13" s="14" t="s">
        <v>29</v>
      </c>
      <c r="D13" s="14" t="s">
        <v>30</v>
      </c>
      <c r="E13" s="14" t="s">
        <v>31</v>
      </c>
      <c r="F13" s="14"/>
      <c r="G13" s="14">
        <v>2020</v>
      </c>
      <c r="H13" s="14">
        <v>2021</v>
      </c>
      <c r="I13" s="14">
        <v>2022</v>
      </c>
      <c r="J13" s="14">
        <v>2023</v>
      </c>
      <c r="K13" s="14">
        <v>2024</v>
      </c>
      <c r="L13" s="14">
        <v>2025</v>
      </c>
    </row>
    <row r="14" spans="1:12" x14ac:dyDescent="0.35">
      <c r="A14" s="14" t="str">
        <f>'Population Definitions'!$A$4</f>
        <v>an_hm</v>
      </c>
      <c r="B14" s="15" t="s">
        <v>32</v>
      </c>
      <c r="C14" s="15" t="s">
        <v>36</v>
      </c>
      <c r="D14" s="16"/>
      <c r="E14" s="16">
        <v>0.45</v>
      </c>
      <c r="F14" s="17" t="s">
        <v>34</v>
      </c>
      <c r="G14" s="16"/>
      <c r="H14" s="16"/>
      <c r="I14" s="16"/>
      <c r="J14" s="16"/>
      <c r="K14" s="16"/>
      <c r="L14" s="16"/>
    </row>
    <row r="16" spans="1:12" x14ac:dyDescent="0.35">
      <c r="A16" s="14" t="s">
        <v>52</v>
      </c>
      <c r="B16" s="14" t="s">
        <v>28</v>
      </c>
      <c r="C16" s="14" t="s">
        <v>29</v>
      </c>
      <c r="D16" s="14" t="s">
        <v>30</v>
      </c>
      <c r="E16" s="14" t="s">
        <v>31</v>
      </c>
      <c r="F16" s="14"/>
      <c r="G16" s="14">
        <v>2020</v>
      </c>
      <c r="H16" s="14">
        <v>2021</v>
      </c>
      <c r="I16" s="14">
        <v>2022</v>
      </c>
      <c r="J16" s="14">
        <v>2023</v>
      </c>
      <c r="K16" s="14">
        <v>2024</v>
      </c>
      <c r="L16" s="14">
        <v>2025</v>
      </c>
    </row>
    <row r="17" spans="1:12" x14ac:dyDescent="0.35">
      <c r="A17" s="14" t="str">
        <f>'Population Definitions'!$A$4</f>
        <v>an_hm</v>
      </c>
      <c r="B17" s="15" t="s">
        <v>32</v>
      </c>
      <c r="C17" s="15" t="s">
        <v>36</v>
      </c>
      <c r="D17" s="16"/>
      <c r="E17" s="16">
        <v>0.53</v>
      </c>
      <c r="F17" s="17" t="s">
        <v>34</v>
      </c>
      <c r="G17" s="16"/>
      <c r="H17" s="16"/>
      <c r="I17" s="16"/>
      <c r="J17" s="16"/>
      <c r="K17" s="16"/>
      <c r="L17" s="16"/>
    </row>
    <row r="19" spans="1:12" x14ac:dyDescent="0.35">
      <c r="A19" s="14" t="s">
        <v>53</v>
      </c>
      <c r="B19" s="14" t="s">
        <v>28</v>
      </c>
      <c r="C19" s="14" t="s">
        <v>29</v>
      </c>
      <c r="D19" s="14" t="s">
        <v>30</v>
      </c>
      <c r="E19" s="14" t="s">
        <v>31</v>
      </c>
      <c r="F19" s="14"/>
      <c r="G19" s="14">
        <v>2020</v>
      </c>
      <c r="H19" s="14">
        <v>2021</v>
      </c>
      <c r="I19" s="14">
        <v>2022</v>
      </c>
      <c r="J19" s="14">
        <v>2023</v>
      </c>
      <c r="K19" s="14">
        <v>2024</v>
      </c>
      <c r="L19" s="14">
        <v>2025</v>
      </c>
    </row>
    <row r="20" spans="1:12" x14ac:dyDescent="0.35">
      <c r="A20" s="14" t="str">
        <f>'Population Definitions'!$A$4</f>
        <v>an_hm</v>
      </c>
      <c r="B20" s="15" t="s">
        <v>32</v>
      </c>
      <c r="C20" s="15" t="s">
        <v>36</v>
      </c>
      <c r="D20" s="16"/>
      <c r="E20" s="16">
        <v>0.02</v>
      </c>
      <c r="F20" s="17" t="s">
        <v>34</v>
      </c>
      <c r="G20" s="16"/>
      <c r="H20" s="16"/>
      <c r="I20" s="16"/>
      <c r="J20" s="16"/>
      <c r="K20" s="16"/>
      <c r="L20" s="16"/>
    </row>
    <row r="22" spans="1:12" x14ac:dyDescent="0.35">
      <c r="A22" s="14" t="s">
        <v>54</v>
      </c>
      <c r="B22" s="14" t="s">
        <v>28</v>
      </c>
      <c r="C22" s="14" t="s">
        <v>29</v>
      </c>
      <c r="D22" s="14" t="s">
        <v>30</v>
      </c>
      <c r="E22" s="14" t="s">
        <v>31</v>
      </c>
      <c r="F22" s="14"/>
      <c r="G22" s="14">
        <v>2020</v>
      </c>
      <c r="H22" s="14">
        <v>2021</v>
      </c>
      <c r="I22" s="14">
        <v>2022</v>
      </c>
      <c r="J22" s="14">
        <v>2023</v>
      </c>
      <c r="K22" s="14">
        <v>2024</v>
      </c>
      <c r="L22" s="14">
        <v>2025</v>
      </c>
    </row>
    <row r="23" spans="1:12" x14ac:dyDescent="0.35">
      <c r="A23" s="14" t="str">
        <f>'Population Definitions'!$A$4</f>
        <v>an_hm</v>
      </c>
      <c r="B23" s="15" t="s">
        <v>32</v>
      </c>
      <c r="C23" s="15" t="s">
        <v>36</v>
      </c>
      <c r="D23" s="16"/>
      <c r="E23" s="16">
        <v>0.66700000000000004</v>
      </c>
      <c r="F23" s="17" t="s">
        <v>34</v>
      </c>
      <c r="G23" s="16"/>
      <c r="H23" s="16"/>
      <c r="I23" s="16"/>
      <c r="J23" s="16"/>
      <c r="K23" s="16"/>
      <c r="L23" s="16"/>
    </row>
    <row r="25" spans="1:12" x14ac:dyDescent="0.35">
      <c r="A25" s="14" t="s">
        <v>55</v>
      </c>
      <c r="B25" s="14" t="s">
        <v>28</v>
      </c>
      <c r="C25" s="14" t="s">
        <v>29</v>
      </c>
      <c r="D25" s="14" t="s">
        <v>30</v>
      </c>
      <c r="E25" s="14" t="s">
        <v>31</v>
      </c>
      <c r="F25" s="14"/>
      <c r="G25" s="14">
        <v>2020</v>
      </c>
      <c r="H25" s="14">
        <v>2021</v>
      </c>
      <c r="I25" s="14">
        <v>2022</v>
      </c>
      <c r="J25" s="14">
        <v>2023</v>
      </c>
      <c r="K25" s="14">
        <v>2024</v>
      </c>
      <c r="L25" s="14">
        <v>2025</v>
      </c>
    </row>
    <row r="26" spans="1:12" x14ac:dyDescent="0.35">
      <c r="A26" s="14" t="str">
        <f>'Population Definitions'!$A$4</f>
        <v>an_hm</v>
      </c>
      <c r="B26" s="15" t="s">
        <v>32</v>
      </c>
      <c r="C26" s="15" t="s">
        <v>36</v>
      </c>
      <c r="D26" s="16"/>
      <c r="E26" s="16">
        <v>0</v>
      </c>
      <c r="F26" s="17" t="s">
        <v>34</v>
      </c>
      <c r="G26" s="16"/>
      <c r="H26" s="16"/>
      <c r="I26" s="16"/>
      <c r="J26" s="16"/>
      <c r="K26" s="16"/>
      <c r="L26" s="16"/>
    </row>
    <row r="28" spans="1:12" x14ac:dyDescent="0.35">
      <c r="A28" s="14" t="s">
        <v>56</v>
      </c>
      <c r="B28" s="14" t="s">
        <v>28</v>
      </c>
      <c r="C28" s="14" t="s">
        <v>29</v>
      </c>
      <c r="D28" s="14" t="s">
        <v>30</v>
      </c>
      <c r="E28" s="14" t="s">
        <v>31</v>
      </c>
      <c r="F28" s="14"/>
      <c r="G28" s="14">
        <v>2020</v>
      </c>
      <c r="H28" s="14">
        <v>2021</v>
      </c>
      <c r="I28" s="14">
        <v>2022</v>
      </c>
      <c r="J28" s="14">
        <v>2023</v>
      </c>
      <c r="K28" s="14">
        <v>2024</v>
      </c>
      <c r="L28" s="14">
        <v>2025</v>
      </c>
    </row>
    <row r="29" spans="1:12" x14ac:dyDescent="0.35">
      <c r="A29" s="14" t="str">
        <f>'Population Definitions'!$A$4</f>
        <v>an_hm</v>
      </c>
      <c r="B29" s="15" t="s">
        <v>32</v>
      </c>
      <c r="C29" s="15" t="s">
        <v>36</v>
      </c>
      <c r="D29" s="16"/>
      <c r="E29" s="16">
        <v>0</v>
      </c>
      <c r="F29" s="17" t="s">
        <v>34</v>
      </c>
      <c r="G29" s="16"/>
      <c r="H29" s="16"/>
      <c r="I29" s="16"/>
      <c r="J29" s="16"/>
      <c r="K29" s="16"/>
      <c r="L29" s="16"/>
    </row>
    <row r="31" spans="1:12" x14ac:dyDescent="0.35">
      <c r="A31" s="14" t="s">
        <v>57</v>
      </c>
      <c r="B31" s="14" t="s">
        <v>28</v>
      </c>
      <c r="C31" s="14" t="s">
        <v>29</v>
      </c>
      <c r="D31" s="14" t="s">
        <v>30</v>
      </c>
      <c r="E31" s="14" t="s">
        <v>31</v>
      </c>
      <c r="F31" s="14"/>
      <c r="G31" s="14">
        <v>2020</v>
      </c>
      <c r="H31" s="14">
        <v>2021</v>
      </c>
      <c r="I31" s="14">
        <v>2022</v>
      </c>
      <c r="J31" s="14">
        <v>2023</v>
      </c>
      <c r="K31" s="14">
        <v>2024</v>
      </c>
      <c r="L31" s="14">
        <v>2025</v>
      </c>
    </row>
    <row r="32" spans="1:12" x14ac:dyDescent="0.35">
      <c r="A32" s="14" t="str">
        <f>'Population Definitions'!$A$4</f>
        <v>an_hm</v>
      </c>
      <c r="B32" s="15" t="s">
        <v>32</v>
      </c>
      <c r="C32" s="15" t="s">
        <v>36</v>
      </c>
      <c r="D32" s="16"/>
      <c r="E32" s="16">
        <v>0</v>
      </c>
      <c r="F32" s="17" t="s">
        <v>34</v>
      </c>
      <c r="G32" s="16"/>
      <c r="H32" s="16"/>
      <c r="I32" s="16"/>
      <c r="J32" s="16"/>
      <c r="K32" s="16"/>
      <c r="L32" s="16"/>
    </row>
    <row r="34" spans="1:12" x14ac:dyDescent="0.35">
      <c r="A34" s="14" t="s">
        <v>58</v>
      </c>
      <c r="B34" s="14" t="s">
        <v>28</v>
      </c>
      <c r="C34" s="14" t="s">
        <v>29</v>
      </c>
      <c r="D34" s="14" t="s">
        <v>30</v>
      </c>
      <c r="E34" s="14" t="s">
        <v>31</v>
      </c>
      <c r="F34" s="14"/>
      <c r="G34" s="14">
        <v>2020</v>
      </c>
      <c r="H34" s="14">
        <v>2021</v>
      </c>
      <c r="I34" s="14">
        <v>2022</v>
      </c>
      <c r="J34" s="14">
        <v>2023</v>
      </c>
      <c r="K34" s="14">
        <v>2024</v>
      </c>
      <c r="L34" s="14">
        <v>2025</v>
      </c>
    </row>
    <row r="35" spans="1:12" x14ac:dyDescent="0.35">
      <c r="A35" s="14" t="str">
        <f>'Population Definitions'!$A$4</f>
        <v>an_hm</v>
      </c>
      <c r="B35" s="15" t="s">
        <v>32</v>
      </c>
      <c r="C35" s="15" t="s">
        <v>36</v>
      </c>
      <c r="D35" s="16"/>
      <c r="E35" s="16">
        <v>0.05</v>
      </c>
      <c r="F35" s="17" t="s">
        <v>34</v>
      </c>
      <c r="G35" s="16"/>
      <c r="H35" s="16"/>
      <c r="I35" s="16"/>
      <c r="J35" s="16"/>
      <c r="K35" s="16"/>
      <c r="L35" s="16"/>
    </row>
    <row r="37" spans="1:12" x14ac:dyDescent="0.35">
      <c r="A37" s="14" t="s">
        <v>59</v>
      </c>
      <c r="B37" s="14" t="s">
        <v>28</v>
      </c>
      <c r="C37" s="14" t="s">
        <v>29</v>
      </c>
      <c r="D37" s="14" t="s">
        <v>30</v>
      </c>
      <c r="E37" s="14" t="s">
        <v>31</v>
      </c>
      <c r="F37" s="14"/>
      <c r="G37" s="14">
        <v>2020</v>
      </c>
      <c r="H37" s="14">
        <v>2021</v>
      </c>
      <c r="I37" s="14">
        <v>2022</v>
      </c>
      <c r="J37" s="14">
        <v>2023</v>
      </c>
      <c r="K37" s="14">
        <v>2024</v>
      </c>
      <c r="L37" s="14">
        <v>2025</v>
      </c>
    </row>
    <row r="38" spans="1:12" x14ac:dyDescent="0.35">
      <c r="A38" s="14" t="str">
        <f>'Population Definitions'!$A$4</f>
        <v>an_hm</v>
      </c>
      <c r="B38" s="15" t="s">
        <v>32</v>
      </c>
      <c r="C38" s="15" t="s">
        <v>36</v>
      </c>
      <c r="D38" s="16"/>
      <c r="E38" s="16">
        <v>0.05</v>
      </c>
      <c r="F38" s="17" t="s">
        <v>34</v>
      </c>
      <c r="G38" s="16"/>
      <c r="H38" s="16"/>
      <c r="I38" s="16"/>
      <c r="J38" s="16"/>
      <c r="K38" s="16"/>
      <c r="L38" s="16"/>
    </row>
    <row r="40" spans="1:12" x14ac:dyDescent="0.35">
      <c r="A40" s="14" t="s">
        <v>60</v>
      </c>
      <c r="B40" s="14" t="s">
        <v>28</v>
      </c>
      <c r="C40" s="14" t="s">
        <v>29</v>
      </c>
      <c r="D40" s="14" t="s">
        <v>30</v>
      </c>
      <c r="E40" s="14" t="s">
        <v>31</v>
      </c>
      <c r="F40" s="14"/>
      <c r="G40" s="14">
        <v>2020</v>
      </c>
      <c r="H40" s="14">
        <v>2021</v>
      </c>
      <c r="I40" s="14">
        <v>2022</v>
      </c>
      <c r="J40" s="14">
        <v>2023</v>
      </c>
      <c r="K40" s="14">
        <v>2024</v>
      </c>
      <c r="L40" s="14">
        <v>2025</v>
      </c>
    </row>
    <row r="41" spans="1:12" x14ac:dyDescent="0.35">
      <c r="A41" s="14" t="str">
        <f>'Population Definitions'!$A$4</f>
        <v>an_hm</v>
      </c>
      <c r="B41" s="15" t="s">
        <v>32</v>
      </c>
      <c r="C41" s="15" t="s">
        <v>36</v>
      </c>
      <c r="D41" s="16"/>
      <c r="E41" s="16">
        <v>0.05</v>
      </c>
      <c r="F41" s="17" t="s">
        <v>34</v>
      </c>
      <c r="G41" s="16"/>
      <c r="H41" s="16"/>
      <c r="I41" s="16"/>
      <c r="J41" s="16"/>
      <c r="K41" s="16"/>
      <c r="L41" s="16"/>
    </row>
    <row r="43" spans="1:12" x14ac:dyDescent="0.35">
      <c r="A43" s="14" t="s">
        <v>61</v>
      </c>
      <c r="B43" s="14" t="s">
        <v>28</v>
      </c>
      <c r="C43" s="14" t="s">
        <v>29</v>
      </c>
      <c r="D43" s="14" t="s">
        <v>30</v>
      </c>
      <c r="E43" s="14" t="s">
        <v>31</v>
      </c>
      <c r="F43" s="14"/>
      <c r="G43" s="14">
        <v>2020</v>
      </c>
      <c r="H43" s="14">
        <v>2021</v>
      </c>
      <c r="I43" s="14">
        <v>2022</v>
      </c>
      <c r="J43" s="14">
        <v>2023</v>
      </c>
      <c r="K43" s="14">
        <v>2024</v>
      </c>
      <c r="L43" s="14">
        <v>2025</v>
      </c>
    </row>
    <row r="44" spans="1:12" x14ac:dyDescent="0.35">
      <c r="A44" s="14" t="str">
        <f>'Population Definitions'!$A$4</f>
        <v>an_hm</v>
      </c>
      <c r="B44" s="15" t="s">
        <v>32</v>
      </c>
      <c r="C44" s="15" t="s">
        <v>36</v>
      </c>
      <c r="D44" s="16"/>
      <c r="E44" s="16">
        <v>0.10495620380524871</v>
      </c>
      <c r="F44" s="17" t="s">
        <v>34</v>
      </c>
      <c r="G44" s="18"/>
      <c r="H44" s="16"/>
      <c r="I44" s="16"/>
      <c r="J44" s="16"/>
      <c r="K44" s="16"/>
      <c r="L44" s="16"/>
    </row>
    <row r="46" spans="1:12" x14ac:dyDescent="0.35">
      <c r="A46" s="14" t="s">
        <v>62</v>
      </c>
      <c r="B46" s="14" t="s">
        <v>28</v>
      </c>
      <c r="C46" s="14" t="s">
        <v>29</v>
      </c>
      <c r="D46" s="14" t="s">
        <v>30</v>
      </c>
      <c r="E46" s="14" t="s">
        <v>31</v>
      </c>
      <c r="F46" s="14"/>
      <c r="G46" s="14">
        <v>2020</v>
      </c>
      <c r="H46" s="14">
        <v>2021</v>
      </c>
      <c r="I46" s="14">
        <v>2022</v>
      </c>
      <c r="J46" s="14">
        <v>2023</v>
      </c>
      <c r="K46" s="14">
        <v>2024</v>
      </c>
      <c r="L46" s="14">
        <v>2025</v>
      </c>
    </row>
    <row r="47" spans="1:12" x14ac:dyDescent="0.35">
      <c r="A47" s="14" t="str">
        <f>'Population Definitions'!$A$4</f>
        <v>an_hm</v>
      </c>
      <c r="B47" s="15" t="s">
        <v>32</v>
      </c>
      <c r="C47" s="15" t="s">
        <v>36</v>
      </c>
      <c r="D47" s="16"/>
      <c r="E47" s="19">
        <v>0</v>
      </c>
      <c r="F47" s="17" t="s">
        <v>34</v>
      </c>
      <c r="G47" s="16"/>
      <c r="H47" s="16"/>
      <c r="I47" s="16"/>
      <c r="J47" s="16"/>
      <c r="K47" s="16"/>
      <c r="L47" s="16"/>
    </row>
    <row r="49" spans="1:12" x14ac:dyDescent="0.35">
      <c r="A49" s="14" t="s">
        <v>63</v>
      </c>
      <c r="B49" s="14" t="s">
        <v>28</v>
      </c>
      <c r="C49" s="14" t="s">
        <v>29</v>
      </c>
      <c r="D49" s="14" t="s">
        <v>30</v>
      </c>
      <c r="E49" s="14" t="s">
        <v>31</v>
      </c>
      <c r="F49" s="14"/>
      <c r="G49" s="14">
        <v>2020</v>
      </c>
      <c r="H49" s="14">
        <v>2021</v>
      </c>
      <c r="I49" s="14">
        <v>2022</v>
      </c>
      <c r="J49" s="14">
        <v>2023</v>
      </c>
      <c r="K49" s="14">
        <v>2024</v>
      </c>
      <c r="L49" s="14">
        <v>2025</v>
      </c>
    </row>
    <row r="50" spans="1:12" x14ac:dyDescent="0.35">
      <c r="A50" s="14" t="str">
        <f>'Population Definitions'!$A$4</f>
        <v>an_hm</v>
      </c>
      <c r="B50" s="15" t="s">
        <v>32</v>
      </c>
      <c r="C50" s="15" t="s">
        <v>36</v>
      </c>
      <c r="D50" s="16"/>
      <c r="E50" s="19">
        <v>0</v>
      </c>
      <c r="F50" s="17" t="s">
        <v>34</v>
      </c>
      <c r="G50" s="16"/>
      <c r="H50" s="16"/>
      <c r="I50" s="16"/>
      <c r="J50" s="16"/>
      <c r="K50" s="16"/>
      <c r="L50" s="16"/>
    </row>
    <row r="52" spans="1:12" x14ac:dyDescent="0.35">
      <c r="A52" s="14" t="s">
        <v>212</v>
      </c>
      <c r="B52" s="14" t="s">
        <v>28</v>
      </c>
      <c r="C52" s="14" t="s">
        <v>29</v>
      </c>
      <c r="D52" s="14" t="s">
        <v>30</v>
      </c>
      <c r="E52" s="14" t="s">
        <v>31</v>
      </c>
      <c r="F52" s="14"/>
      <c r="G52" s="14">
        <v>2020</v>
      </c>
      <c r="H52" s="14">
        <v>2021</v>
      </c>
      <c r="I52" s="14">
        <v>2022</v>
      </c>
      <c r="J52" s="14">
        <v>2023</v>
      </c>
      <c r="K52" s="14">
        <v>2024</v>
      </c>
      <c r="L52" s="14">
        <v>2025</v>
      </c>
    </row>
    <row r="53" spans="1:12" x14ac:dyDescent="0.35">
      <c r="A53" s="14" t="str">
        <f>'Population Definitions'!$A$4</f>
        <v>an_hm</v>
      </c>
      <c r="B53" s="15" t="s">
        <v>32</v>
      </c>
      <c r="C53" s="15" t="s">
        <v>64</v>
      </c>
      <c r="D53" s="16"/>
      <c r="E53" s="19">
        <v>3.0000000000000001E-3</v>
      </c>
      <c r="F53" s="17" t="s">
        <v>34</v>
      </c>
      <c r="G53" s="16"/>
      <c r="H53" s="16"/>
      <c r="I53" s="16"/>
      <c r="J53" s="16"/>
      <c r="K53" s="16"/>
      <c r="L53" s="16"/>
    </row>
    <row r="55" spans="1:12" x14ac:dyDescent="0.35">
      <c r="A55" s="14" t="s">
        <v>213</v>
      </c>
      <c r="B55" s="14" t="s">
        <v>28</v>
      </c>
      <c r="C55" s="14" t="s">
        <v>29</v>
      </c>
      <c r="D55" s="14" t="s">
        <v>30</v>
      </c>
      <c r="E55" s="14" t="s">
        <v>31</v>
      </c>
      <c r="F55" s="14"/>
      <c r="G55" s="14">
        <v>2020</v>
      </c>
      <c r="H55" s="14">
        <v>2021</v>
      </c>
      <c r="I55" s="14">
        <v>2022</v>
      </c>
      <c r="J55" s="14">
        <v>2023</v>
      </c>
      <c r="K55" s="14">
        <v>2024</v>
      </c>
      <c r="L55" s="14">
        <v>2025</v>
      </c>
    </row>
    <row r="56" spans="1:12" x14ac:dyDescent="0.35">
      <c r="A56" s="14" t="str">
        <f>'Population Definitions'!$A$4</f>
        <v>an_hm</v>
      </c>
      <c r="B56" s="15" t="s">
        <v>32</v>
      </c>
      <c r="C56" s="15" t="s">
        <v>64</v>
      </c>
      <c r="D56" s="16"/>
      <c r="E56" s="19">
        <v>5.0999999999999997E-2</v>
      </c>
      <c r="F56" s="17" t="s">
        <v>34</v>
      </c>
      <c r="G56" s="16"/>
      <c r="H56" s="16"/>
      <c r="I56" s="16"/>
      <c r="J56" s="16"/>
      <c r="K56" s="16"/>
      <c r="L56" s="16"/>
    </row>
    <row r="58" spans="1:12" x14ac:dyDescent="0.35">
      <c r="A58" s="14" t="s">
        <v>214</v>
      </c>
      <c r="B58" s="14" t="s">
        <v>28</v>
      </c>
      <c r="C58" s="14" t="s">
        <v>29</v>
      </c>
      <c r="D58" s="14" t="s">
        <v>30</v>
      </c>
      <c r="E58" s="14" t="s">
        <v>31</v>
      </c>
      <c r="F58" s="14"/>
      <c r="G58" s="14">
        <v>2020</v>
      </c>
      <c r="H58" s="14">
        <v>2021</v>
      </c>
      <c r="I58" s="14">
        <v>2022</v>
      </c>
      <c r="J58" s="14">
        <v>2023</v>
      </c>
      <c r="K58" s="14">
        <v>2024</v>
      </c>
      <c r="L58" s="14">
        <v>2025</v>
      </c>
    </row>
    <row r="59" spans="1:12" x14ac:dyDescent="0.35">
      <c r="A59" s="14" t="str">
        <f>'Population Definitions'!$A$4</f>
        <v>an_hm</v>
      </c>
      <c r="B59" s="15" t="s">
        <v>32</v>
      </c>
      <c r="C59" s="15" t="s">
        <v>64</v>
      </c>
      <c r="D59" s="16"/>
      <c r="E59" s="19">
        <v>0.14699999999999999</v>
      </c>
      <c r="F59" s="17" t="s">
        <v>34</v>
      </c>
      <c r="G59" s="16"/>
      <c r="H59" s="16"/>
      <c r="I59" s="16"/>
      <c r="J59" s="16"/>
      <c r="K59" s="16"/>
      <c r="L59" s="16"/>
    </row>
    <row r="61" spans="1:12" x14ac:dyDescent="0.35">
      <c r="A61" s="14"/>
      <c r="B61" s="14"/>
      <c r="C61" s="14"/>
      <c r="D61" s="14"/>
      <c r="E61" s="14"/>
      <c r="F61" s="14"/>
      <c r="G61" s="14"/>
      <c r="H61" s="14"/>
      <c r="I61" s="14"/>
      <c r="J61" s="14"/>
      <c r="K61" s="14"/>
      <c r="L61" s="14"/>
    </row>
    <row r="62" spans="1:12" x14ac:dyDescent="0.35">
      <c r="A62" s="14"/>
      <c r="D62" s="16"/>
      <c r="E62" s="16"/>
      <c r="F62" s="17"/>
      <c r="G62" s="16"/>
      <c r="H62" s="16"/>
      <c r="I62" s="16"/>
      <c r="J62" s="16"/>
      <c r="K62" s="16"/>
      <c r="L62" s="16"/>
    </row>
  </sheetData>
  <autoFilter ref="A1:L62" xr:uid="{00000000-0001-0000-0300-000000000000}"/>
  <conditionalFormatting sqref="E2">
    <cfRule type="expression" dxfId="706" priority="23">
      <formula>COUNTIF(G2:L2,"&lt;&gt;" &amp; "")&gt;0</formula>
    </cfRule>
    <cfRule type="expression" dxfId="705" priority="24">
      <formula>AND(COUNTIF(G2:L2,"&lt;&gt;" &amp; "")&gt;0,NOT(ISBLANK(E2)))</formula>
    </cfRule>
  </conditionalFormatting>
  <conditionalFormatting sqref="E5">
    <cfRule type="expression" dxfId="704" priority="27">
      <formula>COUNTIF(G5:L5,"&lt;&gt;" &amp; "")&gt;0</formula>
    </cfRule>
    <cfRule type="expression" dxfId="703" priority="28">
      <formula>AND(COUNTIF(G5:L5,"&lt;&gt;" &amp; "")&gt;0,NOT(ISBLANK(E5)))</formula>
    </cfRule>
  </conditionalFormatting>
  <conditionalFormatting sqref="E8">
    <cfRule type="expression" dxfId="702" priority="1">
      <formula>COUNTIF(G8:L8,"&lt;&gt;" &amp; "")&gt;0</formula>
    </cfRule>
    <cfRule type="expression" dxfId="701" priority="2">
      <formula>AND(COUNTIF(G8:L8,"&lt;&gt;" &amp; "")&gt;0,NOT(ISBLANK(E8)))</formula>
    </cfRule>
  </conditionalFormatting>
  <conditionalFormatting sqref="E11">
    <cfRule type="expression" dxfId="700" priority="35">
      <formula>COUNTIF(G11:L11,"&lt;&gt;" &amp; "")&gt;0</formula>
    </cfRule>
    <cfRule type="expression" dxfId="699" priority="36">
      <formula>AND(COUNTIF(G11:L11,"&lt;&gt;" &amp; "")&gt;0,NOT(ISBLANK(E11)))</formula>
    </cfRule>
  </conditionalFormatting>
  <conditionalFormatting sqref="E14">
    <cfRule type="expression" dxfId="698" priority="37">
      <formula>COUNTIF(G14:L14,"&lt;&gt;" &amp; "")&gt;0</formula>
    </cfRule>
    <cfRule type="expression" dxfId="697" priority="38">
      <formula>AND(COUNTIF(G14:L14,"&lt;&gt;" &amp; "")&gt;0,NOT(ISBLANK(E14)))</formula>
    </cfRule>
  </conditionalFormatting>
  <conditionalFormatting sqref="E17">
    <cfRule type="expression" dxfId="696" priority="39">
      <formula>COUNTIF(G17:L17,"&lt;&gt;" &amp; "")&gt;0</formula>
    </cfRule>
    <cfRule type="expression" dxfId="695" priority="40">
      <formula>AND(COUNTIF(G17:L17,"&lt;&gt;" &amp; "")&gt;0,NOT(ISBLANK(E17)))</formula>
    </cfRule>
  </conditionalFormatting>
  <conditionalFormatting sqref="E20">
    <cfRule type="expression" dxfId="694" priority="41">
      <formula>COUNTIF(G20:L20,"&lt;&gt;" &amp; "")&gt;0</formula>
    </cfRule>
    <cfRule type="expression" dxfId="693" priority="42">
      <formula>AND(COUNTIF(G20:L20,"&lt;&gt;" &amp; "")&gt;0,NOT(ISBLANK(E20)))</formula>
    </cfRule>
  </conditionalFormatting>
  <conditionalFormatting sqref="E23">
    <cfRule type="expression" dxfId="692" priority="43">
      <formula>COUNTIF(G23:L23,"&lt;&gt;" &amp; "")&gt;0</formula>
    </cfRule>
    <cfRule type="expression" dxfId="691" priority="44">
      <formula>AND(COUNTIF(G23:L23,"&lt;&gt;" &amp; "")&gt;0,NOT(ISBLANK(E23)))</formula>
    </cfRule>
  </conditionalFormatting>
  <conditionalFormatting sqref="E26">
    <cfRule type="expression" dxfId="690" priority="45">
      <formula>COUNTIF(G26:L26,"&lt;&gt;" &amp; "")&gt;0</formula>
    </cfRule>
    <cfRule type="expression" dxfId="689" priority="46">
      <formula>AND(COUNTIF(G26:L26,"&lt;&gt;" &amp; "")&gt;0,NOT(ISBLANK(E26)))</formula>
    </cfRule>
  </conditionalFormatting>
  <conditionalFormatting sqref="E29">
    <cfRule type="expression" dxfId="688" priority="19">
      <formula>COUNTIF(G29:L29,"&lt;&gt;" &amp; "")&gt;0</formula>
    </cfRule>
    <cfRule type="expression" dxfId="687" priority="20">
      <formula>AND(COUNTIF(G29:L29,"&lt;&gt;" &amp; "")&gt;0,NOT(ISBLANK(E29)))</formula>
    </cfRule>
  </conditionalFormatting>
  <conditionalFormatting sqref="E32">
    <cfRule type="expression" dxfId="686" priority="17">
      <formula>COUNTIF(G32:L32,"&lt;&gt;" &amp; "")&gt;0</formula>
    </cfRule>
    <cfRule type="expression" dxfId="685" priority="18">
      <formula>AND(COUNTIF(G32:L32,"&lt;&gt;" &amp; "")&gt;0,NOT(ISBLANK(E32)))</formula>
    </cfRule>
  </conditionalFormatting>
  <conditionalFormatting sqref="E35">
    <cfRule type="expression" dxfId="684" priority="15">
      <formula>COUNTIF(G35:L35,"&lt;&gt;" &amp; "")&gt;0</formula>
    </cfRule>
    <cfRule type="expression" dxfId="683" priority="16">
      <formula>AND(COUNTIF(G35:L35,"&lt;&gt;" &amp; "")&gt;0,NOT(ISBLANK(E35)))</formula>
    </cfRule>
  </conditionalFormatting>
  <conditionalFormatting sqref="E38">
    <cfRule type="expression" dxfId="682" priority="13">
      <formula>COUNTIF(G38:L38,"&lt;&gt;" &amp; "")&gt;0</formula>
    </cfRule>
    <cfRule type="expression" dxfId="681" priority="14">
      <formula>AND(COUNTIF(G38:L38,"&lt;&gt;" &amp; "")&gt;0,NOT(ISBLANK(E38)))</formula>
    </cfRule>
  </conditionalFormatting>
  <conditionalFormatting sqref="E41">
    <cfRule type="expression" dxfId="680" priority="11">
      <formula>COUNTIF(G41:L41,"&lt;&gt;" &amp; "")&gt;0</formula>
    </cfRule>
    <cfRule type="expression" dxfId="679" priority="12">
      <formula>AND(COUNTIF(G41:L41,"&lt;&gt;" &amp; "")&gt;0,NOT(ISBLANK(E41)))</formula>
    </cfRule>
  </conditionalFormatting>
  <conditionalFormatting sqref="E44">
    <cfRule type="expression" dxfId="678" priority="3">
      <formula>COUNTIF(G44:L44,"&lt;&gt;" &amp; "")&gt;0</formula>
    </cfRule>
    <cfRule type="expression" dxfId="677" priority="4">
      <formula>AND(COUNTIF(G44:L44,"&lt;&gt;" &amp; "")&gt;0,NOT(ISBLANK(E44)))</formula>
    </cfRule>
  </conditionalFormatting>
  <conditionalFormatting sqref="E62">
    <cfRule type="expression" dxfId="676" priority="69">
      <formula>COUNTIF(G62:L62,"&lt;&gt;" &amp; "")&gt;0</formula>
    </cfRule>
    <cfRule type="expression" dxfId="675" priority="70">
      <formula>AND(COUNTIF(G62:L62,"&lt;&gt;" &amp; "")&gt;0,NOT(ISBLANK(E62)))</formula>
    </cfRule>
  </conditionalFormatting>
  <dataValidations count="2">
    <dataValidation type="list" allowBlank="1" showInputMessage="1" showErrorMessage="1" sqref="C50 C47 C44 C41 C38 C35 C32 C29 C26 C23 C20 C17 C14 C11 C5 C2 C8" xr:uid="{00000000-0002-0000-0300-000000000000}">
      <formula1>"Proportion"</formula1>
    </dataValidation>
    <dataValidation type="list" allowBlank="1" showInputMessage="1" showErrorMessage="1" sqref="C62 C53 C59 C56" xr:uid="{00000000-0002-0000-0300-000015000000}">
      <formula1>"Number"</formula1>
    </dataValidation>
  </dataValidation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L32"/>
  <sheetViews>
    <sheetView workbookViewId="0">
      <selection activeCell="C17" sqref="C17"/>
    </sheetView>
  </sheetViews>
  <sheetFormatPr defaultRowHeight="14.5" x14ac:dyDescent="0.35"/>
  <cols>
    <col min="1" max="1" width="85.26953125" style="15" customWidth="1"/>
    <col min="2" max="2" width="30.26953125" style="15" customWidth="1"/>
    <col min="3" max="3" width="12.7265625" style="15" customWidth="1"/>
    <col min="4" max="4" width="13.81640625" style="15" customWidth="1"/>
    <col min="5" max="5" width="12.7265625" style="15" customWidth="1"/>
    <col min="6" max="6" width="3.81640625" style="15" customWidth="1"/>
    <col min="7" max="12" width="9.453125" style="15" customWidth="1"/>
  </cols>
  <sheetData>
    <row r="1" spans="1:12" x14ac:dyDescent="0.35">
      <c r="A1" s="14" t="s">
        <v>271</v>
      </c>
      <c r="B1" s="14" t="s">
        <v>28</v>
      </c>
      <c r="C1" s="14" t="s">
        <v>29</v>
      </c>
      <c r="D1" s="14" t="s">
        <v>30</v>
      </c>
      <c r="E1" s="14" t="s">
        <v>31</v>
      </c>
      <c r="F1" s="14"/>
      <c r="G1" s="14">
        <v>2020</v>
      </c>
      <c r="H1" s="14">
        <v>2021</v>
      </c>
      <c r="I1" s="14">
        <v>2022</v>
      </c>
      <c r="J1" s="14">
        <v>2023</v>
      </c>
      <c r="K1" s="14">
        <v>2024</v>
      </c>
      <c r="L1" s="14">
        <v>2025</v>
      </c>
    </row>
    <row r="2" spans="1:12" x14ac:dyDescent="0.35">
      <c r="A2" s="14" t="str">
        <f>'Population Definitions'!$A$6</f>
        <v>msep_hm</v>
      </c>
      <c r="B2" s="15" t="s">
        <v>32</v>
      </c>
      <c r="C2" s="15" t="s">
        <v>36</v>
      </c>
      <c r="D2" s="16"/>
      <c r="E2" s="16">
        <v>0</v>
      </c>
      <c r="F2" s="17" t="s">
        <v>34</v>
      </c>
      <c r="G2" s="16"/>
      <c r="H2" s="16"/>
      <c r="I2" s="16"/>
      <c r="J2" s="16"/>
      <c r="K2" s="16"/>
      <c r="L2" s="16"/>
    </row>
    <row r="4" spans="1:12" x14ac:dyDescent="0.35">
      <c r="A4" s="14" t="s">
        <v>272</v>
      </c>
      <c r="B4" s="14" t="s">
        <v>28</v>
      </c>
      <c r="C4" s="14" t="s">
        <v>29</v>
      </c>
      <c r="D4" s="14" t="s">
        <v>30</v>
      </c>
      <c r="E4" s="14" t="s">
        <v>31</v>
      </c>
      <c r="F4" s="14"/>
      <c r="G4" s="14">
        <v>2020</v>
      </c>
      <c r="H4" s="14">
        <v>2021</v>
      </c>
      <c r="I4" s="14">
        <v>2022</v>
      </c>
      <c r="J4" s="14">
        <v>2023</v>
      </c>
      <c r="K4" s="14">
        <v>2024</v>
      </c>
      <c r="L4" s="14">
        <v>2025</v>
      </c>
    </row>
    <row r="5" spans="1:12" x14ac:dyDescent="0.35">
      <c r="A5" s="14" t="str">
        <f>'Population Definitions'!$A$6</f>
        <v>msep_hm</v>
      </c>
      <c r="B5" s="15" t="s">
        <v>32</v>
      </c>
      <c r="C5" s="15" t="s">
        <v>36</v>
      </c>
      <c r="D5" s="16"/>
      <c r="E5" s="16">
        <v>0.84</v>
      </c>
      <c r="F5" s="17" t="s">
        <v>34</v>
      </c>
      <c r="G5" s="16"/>
      <c r="H5" s="16"/>
      <c r="I5" s="16"/>
      <c r="J5" s="16"/>
      <c r="K5" s="16"/>
      <c r="L5" s="16"/>
    </row>
    <row r="7" spans="1:12" s="10" customFormat="1" x14ac:dyDescent="0.35">
      <c r="A7" s="14" t="s">
        <v>74</v>
      </c>
      <c r="B7" s="14" t="s">
        <v>28</v>
      </c>
      <c r="C7" s="14" t="s">
        <v>29</v>
      </c>
      <c r="D7" s="14" t="s">
        <v>30</v>
      </c>
      <c r="E7" s="14" t="s">
        <v>31</v>
      </c>
      <c r="F7" s="14"/>
      <c r="G7" s="14">
        <v>2020</v>
      </c>
      <c r="H7" s="14">
        <v>2021</v>
      </c>
      <c r="I7" s="14">
        <v>2022</v>
      </c>
      <c r="J7" s="14">
        <v>2023</v>
      </c>
      <c r="K7" s="14">
        <v>2024</v>
      </c>
      <c r="L7" s="14">
        <v>2025</v>
      </c>
    </row>
    <row r="8" spans="1:12" x14ac:dyDescent="0.35">
      <c r="A8" s="14" t="str">
        <f>'Population Definitions'!$A$6</f>
        <v>msep_hm</v>
      </c>
      <c r="B8" s="15" t="s">
        <v>32</v>
      </c>
      <c r="C8" s="15" t="s">
        <v>36</v>
      </c>
      <c r="D8" s="16"/>
      <c r="E8" s="18">
        <v>0.135668022646734</v>
      </c>
      <c r="F8" s="17" t="s">
        <v>34</v>
      </c>
      <c r="G8" s="18"/>
      <c r="H8" s="16"/>
      <c r="I8" s="16"/>
      <c r="J8" s="16"/>
      <c r="K8" s="16"/>
      <c r="L8" s="16"/>
    </row>
    <row r="10" spans="1:12" x14ac:dyDescent="0.35">
      <c r="A10" s="14" t="s">
        <v>75</v>
      </c>
      <c r="B10" s="14" t="s">
        <v>28</v>
      </c>
      <c r="C10" s="14" t="s">
        <v>29</v>
      </c>
      <c r="D10" s="14" t="s">
        <v>30</v>
      </c>
      <c r="E10" s="14" t="s">
        <v>31</v>
      </c>
      <c r="F10" s="14"/>
      <c r="G10" s="14">
        <v>2020</v>
      </c>
      <c r="H10" s="14">
        <v>2021</v>
      </c>
      <c r="I10" s="14">
        <v>2022</v>
      </c>
      <c r="J10" s="14">
        <v>2023</v>
      </c>
      <c r="K10" s="14">
        <v>2024</v>
      </c>
      <c r="L10" s="14">
        <v>2025</v>
      </c>
    </row>
    <row r="11" spans="1:12" x14ac:dyDescent="0.35">
      <c r="A11" s="14" t="str">
        <f>'Population Definitions'!$A$6</f>
        <v>msep_hm</v>
      </c>
      <c r="B11" s="15" t="s">
        <v>32</v>
      </c>
      <c r="C11" s="15" t="s">
        <v>36</v>
      </c>
      <c r="D11" s="16"/>
      <c r="E11" s="16">
        <v>0</v>
      </c>
      <c r="F11" s="17" t="s">
        <v>34</v>
      </c>
      <c r="G11" s="16"/>
      <c r="H11" s="16"/>
      <c r="I11" s="16"/>
      <c r="J11" s="16"/>
      <c r="K11" s="16"/>
      <c r="L11" s="16"/>
    </row>
    <row r="13" spans="1:12" s="10" customFormat="1" x14ac:dyDescent="0.35">
      <c r="A13" s="14" t="s">
        <v>76</v>
      </c>
      <c r="B13" s="14" t="s">
        <v>28</v>
      </c>
      <c r="C13" s="14" t="s">
        <v>29</v>
      </c>
      <c r="D13" s="14" t="s">
        <v>30</v>
      </c>
      <c r="E13" s="14" t="s">
        <v>31</v>
      </c>
      <c r="F13" s="14"/>
      <c r="G13" s="14">
        <v>2020</v>
      </c>
      <c r="H13" s="14">
        <v>2021</v>
      </c>
      <c r="I13" s="14">
        <v>2022</v>
      </c>
      <c r="J13" s="14">
        <v>2023</v>
      </c>
      <c r="K13" s="14">
        <v>2024</v>
      </c>
      <c r="L13" s="14">
        <v>2025</v>
      </c>
    </row>
    <row r="14" spans="1:12" x14ac:dyDescent="0.35">
      <c r="A14" s="14" t="str">
        <f>'Population Definitions'!$A$6</f>
        <v>msep_hm</v>
      </c>
      <c r="B14" s="15" t="s">
        <v>32</v>
      </c>
      <c r="C14" s="15" t="s">
        <v>36</v>
      </c>
      <c r="D14" s="16"/>
      <c r="E14" s="25">
        <v>1.2133800000000001E-5</v>
      </c>
      <c r="F14" s="17" t="s">
        <v>34</v>
      </c>
      <c r="G14" s="18"/>
      <c r="H14" s="16"/>
      <c r="I14" s="16"/>
      <c r="J14" s="16"/>
      <c r="K14" s="16"/>
      <c r="L14" s="16"/>
    </row>
    <row r="16" spans="1:12" x14ac:dyDescent="0.35">
      <c r="A16" s="14" t="s">
        <v>218</v>
      </c>
      <c r="B16" s="14" t="s">
        <v>28</v>
      </c>
      <c r="C16" s="14" t="s">
        <v>29</v>
      </c>
      <c r="D16" s="14" t="s">
        <v>30</v>
      </c>
      <c r="E16" s="14" t="s">
        <v>31</v>
      </c>
      <c r="F16" s="14"/>
      <c r="G16" s="14">
        <v>2020</v>
      </c>
      <c r="H16" s="14">
        <v>2021</v>
      </c>
      <c r="I16" s="14">
        <v>2022</v>
      </c>
      <c r="J16" s="14">
        <v>2023</v>
      </c>
      <c r="K16" s="14">
        <v>2024</v>
      </c>
      <c r="L16" s="14">
        <v>2025</v>
      </c>
    </row>
    <row r="17" spans="1:12" x14ac:dyDescent="0.35">
      <c r="A17" s="14" t="str">
        <f>'Population Definitions'!$A$6</f>
        <v>msep_hm</v>
      </c>
      <c r="B17" s="15" t="s">
        <v>32</v>
      </c>
      <c r="C17" s="15" t="s">
        <v>64</v>
      </c>
      <c r="D17" s="16"/>
      <c r="E17" s="19">
        <v>4.6550000000000003E-3</v>
      </c>
      <c r="F17" s="17" t="s">
        <v>34</v>
      </c>
      <c r="G17" s="16"/>
      <c r="H17" s="16"/>
      <c r="I17" s="16"/>
      <c r="J17" s="16"/>
      <c r="K17" s="16"/>
      <c r="L17" s="16"/>
    </row>
    <row r="19" spans="1:12" x14ac:dyDescent="0.35">
      <c r="A19" s="14" t="s">
        <v>198</v>
      </c>
      <c r="B19" s="14" t="s">
        <v>28</v>
      </c>
      <c r="C19" s="14" t="s">
        <v>29</v>
      </c>
      <c r="D19" s="14" t="s">
        <v>30</v>
      </c>
      <c r="E19" s="14" t="s">
        <v>31</v>
      </c>
      <c r="F19" s="14"/>
      <c r="G19" s="14">
        <v>2020</v>
      </c>
      <c r="H19" s="14">
        <v>2021</v>
      </c>
      <c r="I19" s="14">
        <v>2022</v>
      </c>
      <c r="J19" s="14">
        <v>2023</v>
      </c>
      <c r="K19" s="14">
        <v>2024</v>
      </c>
      <c r="L19" s="14">
        <v>2025</v>
      </c>
    </row>
    <row r="20" spans="1:12" x14ac:dyDescent="0.35">
      <c r="A20" s="14" t="str">
        <f>'[1]Population Definitions'!$A$6</f>
        <v>msep_hm</v>
      </c>
      <c r="C20" s="15" t="s">
        <v>64</v>
      </c>
      <c r="D20" s="16"/>
      <c r="E20" s="20">
        <v>5495269.2999999998</v>
      </c>
      <c r="F20" s="17" t="s">
        <v>34</v>
      </c>
      <c r="G20" s="23"/>
      <c r="H20" s="23"/>
      <c r="I20" s="23"/>
      <c r="J20" s="23"/>
      <c r="K20" s="23"/>
      <c r="L20" s="23"/>
    </row>
    <row r="22" spans="1:12" x14ac:dyDescent="0.35">
      <c r="A22" s="14" t="s">
        <v>199</v>
      </c>
      <c r="B22" s="14" t="s">
        <v>28</v>
      </c>
      <c r="C22" s="14" t="s">
        <v>29</v>
      </c>
      <c r="D22" s="14" t="s">
        <v>30</v>
      </c>
      <c r="E22" s="14" t="s">
        <v>31</v>
      </c>
      <c r="F22" s="14"/>
      <c r="G22" s="14">
        <v>2020</v>
      </c>
      <c r="H22" s="14">
        <v>2021</v>
      </c>
      <c r="I22" s="14">
        <v>2022</v>
      </c>
      <c r="J22" s="14">
        <v>2023</v>
      </c>
      <c r="K22" s="14">
        <v>2024</v>
      </c>
      <c r="L22" s="14">
        <v>2025</v>
      </c>
    </row>
    <row r="23" spans="1:12" x14ac:dyDescent="0.35">
      <c r="A23" s="14" t="str">
        <f>'[1]Population Definitions'!$A$6</f>
        <v>msep_hm</v>
      </c>
      <c r="C23" s="15" t="s">
        <v>64</v>
      </c>
      <c r="D23" s="16"/>
      <c r="E23" s="15">
        <v>2797.6541999999999</v>
      </c>
      <c r="F23" s="17" t="s">
        <v>34</v>
      </c>
      <c r="G23" s="23"/>
      <c r="H23" s="23"/>
      <c r="I23" s="23"/>
      <c r="J23" s="23"/>
      <c r="K23" s="23"/>
      <c r="L23" s="23"/>
    </row>
    <row r="25" spans="1:12" x14ac:dyDescent="0.35">
      <c r="A25" s="14" t="s">
        <v>298</v>
      </c>
      <c r="B25" s="14" t="s">
        <v>28</v>
      </c>
      <c r="C25" s="14" t="s">
        <v>29</v>
      </c>
      <c r="D25" s="14" t="s">
        <v>30</v>
      </c>
      <c r="E25" s="14" t="s">
        <v>31</v>
      </c>
      <c r="F25" s="14"/>
      <c r="G25" s="14">
        <v>2020</v>
      </c>
      <c r="H25" s="14">
        <v>2021</v>
      </c>
      <c r="I25" s="14">
        <v>2022</v>
      </c>
      <c r="J25" s="14">
        <v>2023</v>
      </c>
      <c r="K25" s="14">
        <v>2024</v>
      </c>
      <c r="L25" s="14">
        <v>2025</v>
      </c>
    </row>
    <row r="26" spans="1:12" x14ac:dyDescent="0.35">
      <c r="A26" s="14" t="str">
        <f>'[5]Population Definitions'!$A$6</f>
        <v>msep_hm</v>
      </c>
      <c r="C26" s="15" t="s">
        <v>36</v>
      </c>
      <c r="D26" s="16"/>
      <c r="E26" s="26">
        <v>0.1</v>
      </c>
      <c r="F26" s="17" t="s">
        <v>34</v>
      </c>
      <c r="G26" s="23"/>
      <c r="H26" s="23"/>
      <c r="I26" s="23"/>
      <c r="J26" s="23"/>
      <c r="K26" s="23"/>
      <c r="L26" s="23"/>
    </row>
    <row r="28" spans="1:12" ht="15.75" customHeight="1" x14ac:dyDescent="0.35">
      <c r="A28" s="14" t="s">
        <v>299</v>
      </c>
      <c r="B28" s="14" t="s">
        <v>28</v>
      </c>
      <c r="C28" s="14" t="s">
        <v>29</v>
      </c>
      <c r="D28" s="14" t="s">
        <v>30</v>
      </c>
      <c r="E28" s="14" t="s">
        <v>31</v>
      </c>
      <c r="F28" s="14"/>
      <c r="G28" s="14">
        <v>2020</v>
      </c>
      <c r="H28" s="14">
        <v>2021</v>
      </c>
      <c r="I28" s="14">
        <v>2022</v>
      </c>
      <c r="J28" s="14">
        <v>2023</v>
      </c>
      <c r="K28" s="14">
        <v>2024</v>
      </c>
      <c r="L28" s="14">
        <v>2025</v>
      </c>
    </row>
    <row r="29" spans="1:12" x14ac:dyDescent="0.35">
      <c r="A29" s="14" t="str">
        <f>'[5]Population Definitions'!$A$6</f>
        <v>msep_hm</v>
      </c>
      <c r="C29" s="15" t="s">
        <v>36</v>
      </c>
      <c r="D29" s="16"/>
      <c r="E29" s="26">
        <v>0.2</v>
      </c>
      <c r="F29" s="17" t="s">
        <v>34</v>
      </c>
      <c r="G29" s="23"/>
      <c r="H29" s="23"/>
      <c r="I29" s="23"/>
      <c r="J29" s="23"/>
      <c r="K29" s="23"/>
      <c r="L29" s="23"/>
    </row>
    <row r="31" spans="1:12" ht="15.75" customHeight="1" x14ac:dyDescent="0.35">
      <c r="A31" s="27" t="s">
        <v>300</v>
      </c>
      <c r="B31" s="14" t="s">
        <v>28</v>
      </c>
      <c r="C31" s="14" t="s">
        <v>29</v>
      </c>
      <c r="D31" s="14" t="s">
        <v>30</v>
      </c>
      <c r="E31" s="14" t="s">
        <v>31</v>
      </c>
      <c r="F31" s="14"/>
      <c r="G31" s="14">
        <v>2020</v>
      </c>
      <c r="H31" s="14">
        <v>2021</v>
      </c>
      <c r="I31" s="14">
        <v>2022</v>
      </c>
      <c r="J31" s="14">
        <v>2023</v>
      </c>
      <c r="K31" s="14">
        <v>2024</v>
      </c>
      <c r="L31" s="14">
        <v>2025</v>
      </c>
    </row>
    <row r="32" spans="1:12" x14ac:dyDescent="0.35">
      <c r="A32" s="14" t="str">
        <f>'[5]Population Definitions'!$A$6</f>
        <v>msep_hm</v>
      </c>
      <c r="C32" s="15" t="s">
        <v>36</v>
      </c>
      <c r="D32" s="16"/>
      <c r="E32" s="26">
        <v>0</v>
      </c>
      <c r="F32" s="17" t="s">
        <v>34</v>
      </c>
      <c r="G32" s="23"/>
      <c r="H32" s="23"/>
      <c r="I32" s="23"/>
      <c r="J32" s="23"/>
      <c r="K32" s="23"/>
      <c r="L32" s="23"/>
    </row>
  </sheetData>
  <conditionalFormatting sqref="E2">
    <cfRule type="expression" dxfId="674" priority="8">
      <formula>COUNTIF(G2:L2,"&lt;&gt;" &amp; "")&gt;0</formula>
    </cfRule>
    <cfRule type="expression" dxfId="673" priority="9">
      <formula>AND(COUNTIF(G2:L2,"&lt;&gt;" &amp; "")&gt;0,NOT(ISBLANK(E2)))</formula>
    </cfRule>
  </conditionalFormatting>
  <conditionalFormatting sqref="E5">
    <cfRule type="expression" dxfId="672" priority="16">
      <formula>COUNTIF(G5:L5,"&lt;&gt;" &amp; "")&gt;0</formula>
    </cfRule>
    <cfRule type="expression" dxfId="671" priority="17">
      <formula>AND(COUNTIF(G5:L5,"&lt;&gt;" &amp; "")&gt;0,NOT(ISBLANK(E5)))</formula>
    </cfRule>
  </conditionalFormatting>
  <conditionalFormatting sqref="E11">
    <cfRule type="expression" dxfId="670" priority="20">
      <formula>COUNTIF(G11:L11,"&lt;&gt;" &amp; "")&gt;0</formula>
    </cfRule>
    <cfRule type="expression" dxfId="669" priority="21">
      <formula>AND(COUNTIF(G11:L11,"&lt;&gt;" &amp; "")&gt;0,NOT(ISBLANK(E11)))</formula>
    </cfRule>
  </conditionalFormatting>
  <conditionalFormatting sqref="E14">
    <cfRule type="expression" dxfId="668" priority="7">
      <formula>AND(ISBLANK($G14),ISBLANK($H14))</formula>
    </cfRule>
  </conditionalFormatting>
  <conditionalFormatting sqref="E20">
    <cfRule type="expression" dxfId="667" priority="12">
      <formula>COUNTIF(G20:L20,"&lt;&gt;" &amp; "")&gt;0</formula>
    </cfRule>
    <cfRule type="expression" dxfId="666" priority="13">
      <formula>AND(COUNTIF(G20:L20,"&lt;&gt;" &amp; "")&gt;0,NOT(ISBLANK(E20)))</formula>
    </cfRule>
  </conditionalFormatting>
  <conditionalFormatting sqref="E23">
    <cfRule type="expression" dxfId="665" priority="14">
      <formula>COUNTIF(G23:L23,"&lt;&gt;" &amp; "")&gt;0</formula>
    </cfRule>
    <cfRule type="expression" dxfId="664" priority="15">
      <formula>AND(COUNTIF(G23:L23,"&lt;&gt;" &amp; "")&gt;0,NOT(ISBLANK(E23)))</formula>
    </cfRule>
  </conditionalFormatting>
  <conditionalFormatting sqref="E26">
    <cfRule type="expression" dxfId="663" priority="3">
      <formula>COUNTIF(G26:L26,"&lt;&gt;" &amp; "")&gt;0</formula>
    </cfRule>
    <cfRule type="expression" dxfId="662" priority="4">
      <formula>AND(COUNTIF(G26:L26,"&lt;&gt;" &amp; "")&gt;0,NOT(ISBLANK(E26)))</formula>
    </cfRule>
  </conditionalFormatting>
  <conditionalFormatting sqref="E29">
    <cfRule type="expression" dxfId="661" priority="5">
      <formula>COUNTIF(G29:L29,"&lt;&gt;" &amp; "")&gt;0</formula>
    </cfRule>
    <cfRule type="expression" dxfId="660" priority="6">
      <formula>AND(COUNTIF(G29:L29,"&lt;&gt;" &amp; "")&gt;0,NOT(ISBLANK(E29)))</formula>
    </cfRule>
  </conditionalFormatting>
  <conditionalFormatting sqref="E32">
    <cfRule type="expression" dxfId="659" priority="1">
      <formula>COUNTIF(G32:L32,"&lt;&gt;" &amp; "")&gt;0</formula>
    </cfRule>
    <cfRule type="expression" dxfId="658" priority="2">
      <formula>AND(COUNTIF(G32:L32,"&lt;&gt;" &amp; "")&gt;0,NOT(ISBLANK(E32)))</formula>
    </cfRule>
  </conditionalFormatting>
  <dataValidations count="2">
    <dataValidation type="list" allowBlank="1" showInputMessage="1" showErrorMessage="1" sqref="C5 C14 C11 C8 C2 C29 C26 C32" xr:uid="{00000000-0002-0000-0500-000000000000}">
      <formula1>"Proportion"</formula1>
    </dataValidation>
    <dataValidation type="list" allowBlank="1" showInputMessage="1" showErrorMessage="1" sqref="C17 C23 C20" xr:uid="{00000000-0002-0000-0500-000004000000}">
      <formula1>"Number"</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A1:AA38"/>
  <sheetViews>
    <sheetView topLeftCell="A7" workbookViewId="0">
      <selection sqref="A1:AA1048576"/>
    </sheetView>
  </sheetViews>
  <sheetFormatPr defaultRowHeight="14.5" x14ac:dyDescent="0.35"/>
  <cols>
    <col min="1" max="1" width="111.7265625" style="15" customWidth="1"/>
    <col min="2" max="2" width="30.26953125" style="15" customWidth="1"/>
    <col min="3" max="3" width="12.7265625" style="15" customWidth="1"/>
    <col min="4" max="4" width="13.81640625" style="15" customWidth="1"/>
    <col min="5" max="5" width="10.54296875" style="15" customWidth="1"/>
    <col min="6" max="6" width="3.81640625" style="15" customWidth="1"/>
    <col min="7" max="12" width="9.453125" style="15" customWidth="1"/>
    <col min="13" max="27" width="8.7265625" style="15"/>
  </cols>
  <sheetData>
    <row r="1" spans="1:27" s="10" customFormat="1" x14ac:dyDescent="0.35">
      <c r="A1" s="14" t="s">
        <v>77</v>
      </c>
      <c r="B1" s="14" t="s">
        <v>28</v>
      </c>
      <c r="C1" s="14" t="s">
        <v>29</v>
      </c>
      <c r="D1" s="14" t="s">
        <v>30</v>
      </c>
      <c r="E1" s="14" t="s">
        <v>31</v>
      </c>
      <c r="F1" s="14"/>
      <c r="G1" s="14">
        <v>2020</v>
      </c>
      <c r="H1" s="14">
        <v>2021</v>
      </c>
      <c r="I1" s="14">
        <v>2022</v>
      </c>
      <c r="J1" s="14">
        <v>2023</v>
      </c>
      <c r="K1" s="14">
        <v>2024</v>
      </c>
      <c r="L1" s="14">
        <v>2025</v>
      </c>
      <c r="M1" s="15"/>
      <c r="N1" s="15"/>
      <c r="O1" s="15"/>
      <c r="P1" s="15"/>
      <c r="Q1" s="15"/>
      <c r="R1" s="15"/>
      <c r="S1" s="15"/>
      <c r="T1" s="15"/>
      <c r="U1" s="15"/>
      <c r="V1" s="15"/>
      <c r="W1" s="15"/>
      <c r="X1" s="15"/>
      <c r="Y1" s="15"/>
      <c r="Z1" s="15"/>
      <c r="AA1" s="15"/>
    </row>
    <row r="2" spans="1:27" x14ac:dyDescent="0.35">
      <c r="A2" s="14" t="str">
        <f>'Population Definitions'!$A$9</f>
        <v>ol_hm</v>
      </c>
      <c r="B2" s="15" t="s">
        <v>32</v>
      </c>
      <c r="C2" s="15" t="s">
        <v>36</v>
      </c>
      <c r="D2" s="16"/>
      <c r="E2" s="18">
        <v>6.2464527303684403E-2</v>
      </c>
      <c r="F2" s="17" t="s">
        <v>34</v>
      </c>
      <c r="G2" s="18"/>
      <c r="H2" s="16"/>
      <c r="I2" s="16"/>
      <c r="J2" s="16"/>
      <c r="K2" s="16"/>
      <c r="L2" s="16"/>
    </row>
    <row r="4" spans="1:27" x14ac:dyDescent="0.35">
      <c r="A4" s="14" t="s">
        <v>220</v>
      </c>
      <c r="B4" s="14" t="s">
        <v>28</v>
      </c>
      <c r="C4" s="14" t="s">
        <v>29</v>
      </c>
      <c r="D4" s="14" t="s">
        <v>30</v>
      </c>
      <c r="E4" s="14" t="s">
        <v>31</v>
      </c>
      <c r="F4" s="14"/>
      <c r="G4" s="14">
        <v>2020</v>
      </c>
      <c r="H4" s="14">
        <v>2021</v>
      </c>
      <c r="I4" s="14">
        <v>2022</v>
      </c>
      <c r="J4" s="14">
        <v>2023</v>
      </c>
      <c r="K4" s="14">
        <v>2024</v>
      </c>
      <c r="L4" s="14">
        <v>2025</v>
      </c>
      <c r="M4" s="14">
        <v>2026</v>
      </c>
      <c r="N4" s="14">
        <v>2027</v>
      </c>
      <c r="O4" s="14">
        <v>2028</v>
      </c>
      <c r="P4" s="14">
        <v>2029</v>
      </c>
      <c r="Q4" s="14">
        <v>2030</v>
      </c>
      <c r="R4" s="14">
        <v>2031</v>
      </c>
      <c r="S4" s="14">
        <v>2032</v>
      </c>
      <c r="T4" s="14">
        <v>2033</v>
      </c>
      <c r="U4" s="14">
        <v>2034</v>
      </c>
      <c r="V4" s="14">
        <v>2035</v>
      </c>
      <c r="W4" s="14">
        <v>2036</v>
      </c>
      <c r="X4" s="14">
        <v>2037</v>
      </c>
      <c r="Y4" s="14">
        <v>2038</v>
      </c>
      <c r="Z4" s="14">
        <v>2039</v>
      </c>
      <c r="AA4" s="14">
        <v>2040</v>
      </c>
    </row>
    <row r="5" spans="1:27" x14ac:dyDescent="0.35">
      <c r="A5" s="14" t="str">
        <f>'Population Definitions'!$A$9</f>
        <v>ol_hm</v>
      </c>
      <c r="B5" s="15" t="s">
        <v>32</v>
      </c>
      <c r="C5" s="15" t="s">
        <v>36</v>
      </c>
      <c r="D5" s="16"/>
      <c r="E5" s="16">
        <v>0.75</v>
      </c>
      <c r="F5" s="17" t="s">
        <v>34</v>
      </c>
      <c r="G5" s="16">
        <v>0.75</v>
      </c>
      <c r="H5" s="16">
        <v>0.75</v>
      </c>
      <c r="I5" s="16">
        <v>0.75</v>
      </c>
      <c r="J5" s="16">
        <v>0.78125</v>
      </c>
      <c r="K5" s="16">
        <v>0.8125</v>
      </c>
      <c r="L5" s="16">
        <v>0.84375</v>
      </c>
      <c r="M5" s="16">
        <v>0.875</v>
      </c>
      <c r="N5" s="16">
        <v>0.90625</v>
      </c>
      <c r="O5" s="16">
        <v>0.9375</v>
      </c>
      <c r="P5" s="16">
        <v>0.96875</v>
      </c>
      <c r="Q5" s="16">
        <v>1</v>
      </c>
      <c r="R5" s="16">
        <v>1</v>
      </c>
      <c r="S5" s="16">
        <v>1</v>
      </c>
      <c r="T5" s="16">
        <v>1</v>
      </c>
      <c r="U5" s="16">
        <v>1</v>
      </c>
      <c r="V5" s="16">
        <v>1</v>
      </c>
      <c r="W5" s="16">
        <v>1</v>
      </c>
      <c r="X5" s="16">
        <v>1</v>
      </c>
      <c r="Y5" s="16">
        <v>1</v>
      </c>
      <c r="Z5" s="16">
        <v>1</v>
      </c>
      <c r="AA5" s="16">
        <v>1</v>
      </c>
    </row>
    <row r="7" spans="1:27" x14ac:dyDescent="0.35">
      <c r="A7" s="14" t="s">
        <v>78</v>
      </c>
      <c r="B7" s="14" t="s">
        <v>28</v>
      </c>
      <c r="C7" s="14" t="s">
        <v>29</v>
      </c>
      <c r="D7" s="14" t="s">
        <v>30</v>
      </c>
      <c r="E7" s="14" t="s">
        <v>31</v>
      </c>
      <c r="F7" s="14"/>
      <c r="G7" s="14">
        <v>2020</v>
      </c>
      <c r="H7" s="14">
        <v>2021</v>
      </c>
      <c r="I7" s="14">
        <v>2022</v>
      </c>
      <c r="J7" s="14">
        <v>2023</v>
      </c>
      <c r="K7" s="14">
        <v>2024</v>
      </c>
      <c r="L7" s="14">
        <v>2025</v>
      </c>
    </row>
    <row r="8" spans="1:27" x14ac:dyDescent="0.35">
      <c r="A8" s="14" t="str">
        <f>'Population Definitions'!$A$9</f>
        <v>ol_hm</v>
      </c>
      <c r="B8" s="15" t="s">
        <v>32</v>
      </c>
      <c r="C8" s="15" t="s">
        <v>36</v>
      </c>
      <c r="D8" s="16"/>
      <c r="E8" s="16">
        <v>0.9</v>
      </c>
      <c r="F8" s="17" t="s">
        <v>34</v>
      </c>
      <c r="G8" s="16"/>
      <c r="H8" s="16"/>
      <c r="I8" s="16"/>
      <c r="J8" s="16"/>
      <c r="K8" s="16"/>
      <c r="L8" s="16"/>
    </row>
    <row r="10" spans="1:27" x14ac:dyDescent="0.35">
      <c r="A10" s="14" t="s">
        <v>219</v>
      </c>
      <c r="B10" s="14" t="s">
        <v>28</v>
      </c>
      <c r="C10" s="14" t="s">
        <v>29</v>
      </c>
      <c r="D10" s="14" t="s">
        <v>30</v>
      </c>
      <c r="E10" s="14" t="s">
        <v>31</v>
      </c>
      <c r="F10" s="14"/>
      <c r="G10" s="14">
        <v>2020</v>
      </c>
      <c r="H10" s="14">
        <v>2021</v>
      </c>
      <c r="I10" s="14">
        <v>2022</v>
      </c>
      <c r="J10" s="14">
        <v>2023</v>
      </c>
      <c r="K10" s="14">
        <v>2024</v>
      </c>
      <c r="L10" s="14">
        <v>2025</v>
      </c>
    </row>
    <row r="11" spans="1:27" x14ac:dyDescent="0.35">
      <c r="A11" s="14" t="str">
        <f>'Population Definitions'!$A$9</f>
        <v>ol_hm</v>
      </c>
      <c r="B11" s="15" t="s">
        <v>32</v>
      </c>
      <c r="C11" s="15" t="s">
        <v>36</v>
      </c>
      <c r="D11" s="16"/>
      <c r="E11" s="16">
        <v>0.21</v>
      </c>
      <c r="F11" s="17" t="s">
        <v>34</v>
      </c>
      <c r="G11" s="16"/>
      <c r="H11" s="16"/>
      <c r="I11" s="16"/>
      <c r="J11" s="16"/>
      <c r="K11" s="16"/>
      <c r="L11" s="16"/>
    </row>
    <row r="13" spans="1:27" x14ac:dyDescent="0.35">
      <c r="A13" s="14" t="s">
        <v>79</v>
      </c>
      <c r="B13" s="14" t="s">
        <v>28</v>
      </c>
      <c r="C13" s="14" t="s">
        <v>29</v>
      </c>
      <c r="D13" s="14" t="s">
        <v>30</v>
      </c>
      <c r="E13" s="14" t="s">
        <v>31</v>
      </c>
      <c r="F13" s="14"/>
      <c r="G13" s="14">
        <v>2020</v>
      </c>
      <c r="H13" s="14">
        <v>2021</v>
      </c>
      <c r="I13" s="14">
        <v>2022</v>
      </c>
      <c r="J13" s="14">
        <v>2023</v>
      </c>
      <c r="K13" s="14">
        <v>2024</v>
      </c>
      <c r="L13" s="14">
        <v>2025</v>
      </c>
    </row>
    <row r="14" spans="1:27" x14ac:dyDescent="0.35">
      <c r="A14" s="14" t="str">
        <f>'Population Definitions'!$A$9</f>
        <v>ol_hm</v>
      </c>
      <c r="B14" s="15" t="s">
        <v>297</v>
      </c>
      <c r="C14" s="15" t="s">
        <v>36</v>
      </c>
      <c r="D14" s="16"/>
      <c r="E14" s="18">
        <v>7.3029849999999995E-4</v>
      </c>
      <c r="F14" s="17" t="s">
        <v>34</v>
      </c>
      <c r="G14" s="18"/>
      <c r="H14" s="16"/>
      <c r="I14" s="16"/>
      <c r="J14" s="16"/>
      <c r="K14" s="16"/>
      <c r="L14" s="16"/>
    </row>
    <row r="16" spans="1:27" s="10" customFormat="1" x14ac:dyDescent="0.35">
      <c r="A16" s="14" t="s">
        <v>80</v>
      </c>
      <c r="B16" s="14" t="s">
        <v>28</v>
      </c>
      <c r="C16" s="14" t="s">
        <v>29</v>
      </c>
      <c r="D16" s="14" t="s">
        <v>30</v>
      </c>
      <c r="E16" s="14" t="s">
        <v>31</v>
      </c>
      <c r="F16" s="14"/>
      <c r="G16" s="14">
        <v>2020</v>
      </c>
      <c r="H16" s="14">
        <v>2021</v>
      </c>
      <c r="I16" s="14">
        <v>2022</v>
      </c>
      <c r="J16" s="14">
        <v>2023</v>
      </c>
      <c r="K16" s="14">
        <v>2024</v>
      </c>
      <c r="L16" s="14">
        <v>2025</v>
      </c>
      <c r="M16" s="15"/>
      <c r="N16" s="15"/>
      <c r="O16" s="15"/>
      <c r="P16" s="15"/>
      <c r="Q16" s="15"/>
      <c r="R16" s="15"/>
      <c r="S16" s="15"/>
      <c r="T16" s="15"/>
      <c r="U16" s="15"/>
      <c r="V16" s="15"/>
      <c r="W16" s="15"/>
      <c r="X16" s="15"/>
      <c r="Y16" s="15"/>
      <c r="Z16" s="15"/>
      <c r="AA16" s="15"/>
    </row>
    <row r="17" spans="1:12" x14ac:dyDescent="0.35">
      <c r="A17" s="14" t="str">
        <f>'Population Definitions'!$A$9</f>
        <v>ol_hm</v>
      </c>
      <c r="B17" s="15" t="s">
        <v>296</v>
      </c>
      <c r="C17" s="15" t="s">
        <v>36</v>
      </c>
      <c r="D17" s="16"/>
      <c r="E17" s="28">
        <v>7.9380271739130427E-4</v>
      </c>
      <c r="F17" s="17" t="s">
        <v>34</v>
      </c>
      <c r="G17" s="16"/>
      <c r="H17" s="16"/>
      <c r="I17" s="16"/>
      <c r="J17" s="16"/>
      <c r="K17" s="16"/>
      <c r="L17" s="16"/>
    </row>
    <row r="19" spans="1:12" x14ac:dyDescent="0.35">
      <c r="A19" s="14" t="s">
        <v>81</v>
      </c>
      <c r="B19" s="14" t="s">
        <v>28</v>
      </c>
      <c r="C19" s="14" t="s">
        <v>29</v>
      </c>
      <c r="D19" s="14" t="s">
        <v>30</v>
      </c>
      <c r="E19" s="14" t="s">
        <v>31</v>
      </c>
      <c r="F19" s="14"/>
      <c r="G19" s="14">
        <v>2020</v>
      </c>
      <c r="H19" s="14">
        <v>2021</v>
      </c>
      <c r="I19" s="14">
        <v>2022</v>
      </c>
      <c r="J19" s="14">
        <v>2023</v>
      </c>
      <c r="K19" s="14">
        <v>2024</v>
      </c>
      <c r="L19" s="14">
        <v>2025</v>
      </c>
    </row>
    <row r="20" spans="1:12" x14ac:dyDescent="0.35">
      <c r="A20" s="14" t="str">
        <f>'Population Definitions'!$A$9</f>
        <v>ol_hm</v>
      </c>
      <c r="B20" s="15" t="s">
        <v>32</v>
      </c>
      <c r="C20" s="15" t="s">
        <v>36</v>
      </c>
      <c r="D20" s="16"/>
      <c r="E20" s="16">
        <v>1</v>
      </c>
      <c r="F20" s="17" t="s">
        <v>34</v>
      </c>
      <c r="G20" s="16"/>
      <c r="H20" s="16"/>
      <c r="I20" s="16"/>
      <c r="J20" s="16"/>
      <c r="K20" s="16"/>
      <c r="L20" s="16"/>
    </row>
    <row r="22" spans="1:12" x14ac:dyDescent="0.35">
      <c r="A22" s="29" t="s">
        <v>295</v>
      </c>
      <c r="B22" s="14" t="s">
        <v>28</v>
      </c>
      <c r="C22" s="14" t="s">
        <v>29</v>
      </c>
      <c r="D22" s="14" t="s">
        <v>30</v>
      </c>
      <c r="E22" s="14" t="s">
        <v>31</v>
      </c>
      <c r="F22" s="14"/>
      <c r="G22" s="14">
        <v>2020</v>
      </c>
      <c r="H22" s="14">
        <v>2021</v>
      </c>
      <c r="I22" s="14">
        <v>2022</v>
      </c>
      <c r="J22" s="14">
        <v>2023</v>
      </c>
      <c r="K22" s="14">
        <v>2024</v>
      </c>
      <c r="L22" s="14">
        <v>2025</v>
      </c>
    </row>
    <row r="23" spans="1:12" x14ac:dyDescent="0.35">
      <c r="A23" s="14" t="str">
        <f>'Population Definitions'!$A$9</f>
        <v>ol_hm</v>
      </c>
      <c r="B23" s="15" t="s">
        <v>32</v>
      </c>
      <c r="C23" s="15" t="s">
        <v>36</v>
      </c>
      <c r="D23" s="16"/>
      <c r="E23" s="16">
        <v>0.45167899500000003</v>
      </c>
      <c r="F23" s="17" t="s">
        <v>34</v>
      </c>
      <c r="G23" s="16"/>
      <c r="H23" s="16"/>
      <c r="I23" s="16"/>
      <c r="J23" s="16"/>
      <c r="K23" s="16"/>
      <c r="L23" s="16"/>
    </row>
    <row r="25" spans="1:12" ht="14.25" customHeight="1" x14ac:dyDescent="0.35">
      <c r="A25" s="14" t="s">
        <v>82</v>
      </c>
      <c r="B25" s="14" t="s">
        <v>28</v>
      </c>
      <c r="C25" s="14" t="s">
        <v>29</v>
      </c>
      <c r="D25" s="14" t="s">
        <v>30</v>
      </c>
      <c r="E25" s="14" t="s">
        <v>31</v>
      </c>
      <c r="F25" s="14"/>
      <c r="G25" s="14">
        <v>2020</v>
      </c>
      <c r="H25" s="14">
        <v>2021</v>
      </c>
      <c r="I25" s="14">
        <v>2022</v>
      </c>
      <c r="J25" s="14">
        <v>2023</v>
      </c>
      <c r="K25" s="14">
        <v>2024</v>
      </c>
      <c r="L25" s="14">
        <v>2025</v>
      </c>
    </row>
    <row r="26" spans="1:12" x14ac:dyDescent="0.35">
      <c r="A26" s="14" t="str">
        <f>'Population Definitions'!$A$9</f>
        <v>ol_hm</v>
      </c>
      <c r="B26" s="15" t="s">
        <v>32</v>
      </c>
      <c r="C26" s="15" t="s">
        <v>36</v>
      </c>
      <c r="D26" s="16"/>
      <c r="E26" s="19">
        <v>3.3000000000000002E-2</v>
      </c>
      <c r="F26" s="17" t="s">
        <v>34</v>
      </c>
      <c r="G26" s="16"/>
      <c r="H26" s="16"/>
      <c r="I26" s="16"/>
      <c r="J26" s="16"/>
      <c r="K26" s="16"/>
      <c r="L26" s="16"/>
    </row>
    <row r="28" spans="1:12" x14ac:dyDescent="0.35">
      <c r="A28" s="14" t="s">
        <v>83</v>
      </c>
      <c r="B28" s="14" t="s">
        <v>28</v>
      </c>
      <c r="C28" s="14" t="s">
        <v>29</v>
      </c>
      <c r="D28" s="14" t="s">
        <v>30</v>
      </c>
      <c r="E28" s="14" t="s">
        <v>31</v>
      </c>
      <c r="F28" s="14"/>
      <c r="G28" s="14">
        <v>2020</v>
      </c>
      <c r="H28" s="14">
        <v>2021</v>
      </c>
      <c r="I28" s="14">
        <v>2022</v>
      </c>
      <c r="J28" s="14">
        <v>2023</v>
      </c>
      <c r="K28" s="14">
        <v>2024</v>
      </c>
      <c r="L28" s="14">
        <v>2025</v>
      </c>
    </row>
    <row r="29" spans="1:12" x14ac:dyDescent="0.35">
      <c r="A29" s="14" t="str">
        <f>'Population Definitions'!$A$9</f>
        <v>ol_hm</v>
      </c>
      <c r="B29" s="15" t="s">
        <v>32</v>
      </c>
      <c r="C29" s="15" t="s">
        <v>36</v>
      </c>
      <c r="D29" s="16"/>
      <c r="E29" s="19">
        <v>6.6000000000000003E-2</v>
      </c>
      <c r="F29" s="17" t="s">
        <v>34</v>
      </c>
      <c r="G29" s="16"/>
      <c r="H29" s="16"/>
      <c r="I29" s="16"/>
      <c r="J29" s="16"/>
      <c r="K29" s="16"/>
      <c r="L29" s="16"/>
    </row>
    <row r="31" spans="1:12" x14ac:dyDescent="0.35">
      <c r="A31" s="14" t="s">
        <v>200</v>
      </c>
      <c r="B31" s="14" t="s">
        <v>28</v>
      </c>
      <c r="C31" s="14" t="s">
        <v>29</v>
      </c>
      <c r="D31" s="14" t="s">
        <v>30</v>
      </c>
      <c r="E31" s="14" t="s">
        <v>31</v>
      </c>
      <c r="F31" s="14"/>
      <c r="G31" s="14">
        <v>2020</v>
      </c>
      <c r="H31" s="14">
        <v>2021</v>
      </c>
      <c r="I31" s="14">
        <v>2022</v>
      </c>
      <c r="J31" s="14">
        <v>2023</v>
      </c>
      <c r="K31" s="14">
        <v>2024</v>
      </c>
      <c r="L31" s="14">
        <v>2025</v>
      </c>
    </row>
    <row r="32" spans="1:12" x14ac:dyDescent="0.35">
      <c r="A32" s="14" t="str">
        <f>'Population Definitions'!$A$9</f>
        <v>ol_hm</v>
      </c>
      <c r="C32" s="15" t="s">
        <v>64</v>
      </c>
      <c r="D32" s="16"/>
      <c r="E32" s="20">
        <v>2530142.2999999998</v>
      </c>
      <c r="F32" s="17" t="s">
        <v>34</v>
      </c>
      <c r="G32" s="23"/>
      <c r="H32" s="23"/>
      <c r="I32" s="23"/>
      <c r="J32" s="23"/>
      <c r="K32" s="23"/>
      <c r="L32" s="23"/>
    </row>
    <row r="34" spans="1:12" x14ac:dyDescent="0.35">
      <c r="A34" s="14" t="s">
        <v>201</v>
      </c>
      <c r="B34" s="14" t="s">
        <v>28</v>
      </c>
      <c r="C34" s="14" t="s">
        <v>29</v>
      </c>
      <c r="D34" s="14" t="s">
        <v>30</v>
      </c>
      <c r="E34" s="14" t="s">
        <v>31</v>
      </c>
      <c r="F34" s="14"/>
      <c r="G34" s="14">
        <v>2020</v>
      </c>
      <c r="H34" s="14">
        <v>2021</v>
      </c>
      <c r="I34" s="14">
        <v>2022</v>
      </c>
      <c r="J34" s="14">
        <v>2023</v>
      </c>
      <c r="K34" s="14">
        <v>2024</v>
      </c>
      <c r="L34" s="14">
        <v>2025</v>
      </c>
    </row>
    <row r="35" spans="1:12" x14ac:dyDescent="0.35">
      <c r="A35" s="14" t="str">
        <f>'Population Definitions'!$A$9</f>
        <v>ol_hm</v>
      </c>
      <c r="C35" s="15" t="s">
        <v>64</v>
      </c>
      <c r="D35" s="16"/>
      <c r="E35" s="18">
        <v>3587.6392000000001</v>
      </c>
      <c r="F35" s="17" t="s">
        <v>34</v>
      </c>
      <c r="G35" s="23"/>
      <c r="H35" s="23"/>
      <c r="I35" s="23"/>
      <c r="J35" s="23"/>
      <c r="K35" s="23"/>
      <c r="L35" s="23"/>
    </row>
    <row r="37" spans="1:12" x14ac:dyDescent="0.35">
      <c r="A37" s="14" t="s">
        <v>84</v>
      </c>
      <c r="B37" s="14" t="s">
        <v>28</v>
      </c>
      <c r="C37" s="14" t="s">
        <v>29</v>
      </c>
      <c r="D37" s="14" t="s">
        <v>30</v>
      </c>
      <c r="E37" s="14" t="s">
        <v>31</v>
      </c>
      <c r="F37" s="14"/>
      <c r="G37" s="14">
        <v>2020</v>
      </c>
      <c r="H37" s="14">
        <v>2021</v>
      </c>
      <c r="I37" s="14">
        <v>2022</v>
      </c>
      <c r="J37" s="14">
        <v>2023</v>
      </c>
      <c r="K37" s="14">
        <v>2024</v>
      </c>
      <c r="L37" s="14">
        <v>2025</v>
      </c>
    </row>
    <row r="38" spans="1:12" x14ac:dyDescent="0.35">
      <c r="A38" s="14" t="str">
        <f>'Population Definitions'!$A$9</f>
        <v>ol_hm</v>
      </c>
      <c r="B38" s="15" t="s">
        <v>32</v>
      </c>
      <c r="C38" s="15" t="s">
        <v>36</v>
      </c>
      <c r="D38" s="16"/>
      <c r="E38" s="16">
        <v>0</v>
      </c>
      <c r="F38" s="17" t="s">
        <v>34</v>
      </c>
      <c r="G38" s="16"/>
      <c r="H38" s="16"/>
      <c r="I38" s="16"/>
      <c r="J38" s="16"/>
      <c r="K38" s="16"/>
      <c r="L38" s="16"/>
    </row>
  </sheetData>
  <conditionalFormatting sqref="E5">
    <cfRule type="expression" dxfId="657" priority="445">
      <formula>COUNTIF(H5:L5,"&lt;&gt;" &amp; "")&gt;0</formula>
    </cfRule>
    <cfRule type="expression" dxfId="656" priority="446">
      <formula>AND(COUNTIF(H5:L5,"&lt;&gt;" &amp; "")&gt;0,NOT(ISBLANK(E5)))</formula>
    </cfRule>
  </conditionalFormatting>
  <conditionalFormatting sqref="E8">
    <cfRule type="expression" dxfId="655" priority="15">
      <formula>COUNTIF(G8:L8,"&lt;&gt;" &amp; "")&gt;0</formula>
    </cfRule>
    <cfRule type="expression" dxfId="654" priority="16">
      <formula>AND(COUNTIF(G8:L8,"&lt;&gt;" &amp; "")&gt;0,NOT(ISBLANK(E8)))</formula>
    </cfRule>
  </conditionalFormatting>
  <conditionalFormatting sqref="E11">
    <cfRule type="expression" dxfId="653" priority="17">
      <formula>COUNTIF(G11:L11,"&lt;&gt;" &amp; "")&gt;0</formula>
    </cfRule>
    <cfRule type="expression" dxfId="652" priority="18">
      <formula>AND(COUNTIF(G11:L11,"&lt;&gt;" &amp; "")&gt;0,NOT(ISBLANK(E11)))</formula>
    </cfRule>
  </conditionalFormatting>
  <conditionalFormatting sqref="E20">
    <cfRule type="expression" dxfId="651" priority="23">
      <formula>COUNTIF(G20:L20,"&lt;&gt;" &amp; "")&gt;0</formula>
    </cfRule>
    <cfRule type="expression" dxfId="650" priority="24">
      <formula>AND(COUNTIF(G20:L20,"&lt;&gt;" &amp; "")&gt;0,NOT(ISBLANK(E20)))</formula>
    </cfRule>
  </conditionalFormatting>
  <conditionalFormatting sqref="E23">
    <cfRule type="expression" dxfId="649" priority="1">
      <formula>COUNTIF(G23:L23,"&lt;&gt;" &amp; "")&gt;0</formula>
    </cfRule>
    <cfRule type="expression" dxfId="648" priority="2">
      <formula>AND(COUNTIF(G23:L23,"&lt;&gt;" &amp; "")&gt;0,NOT(ISBLANK(E23)))</formula>
    </cfRule>
  </conditionalFormatting>
  <conditionalFormatting sqref="E32">
    <cfRule type="expression" dxfId="647" priority="5">
      <formula>COUNTIF(G32:L32,"&lt;&gt;" &amp; "")&gt;0</formula>
    </cfRule>
    <cfRule type="expression" dxfId="646" priority="6">
      <formula>AND(COUNTIF(G32:L32,"&lt;&gt;" &amp; "")&gt;0,NOT(ISBLANK(E32)))</formula>
    </cfRule>
  </conditionalFormatting>
  <conditionalFormatting sqref="E38">
    <cfRule type="expression" dxfId="645" priority="29">
      <formula>COUNTIF(G38:L38,"&lt;&gt;" &amp; "")&gt;0</formula>
    </cfRule>
    <cfRule type="expression" dxfId="644" priority="30">
      <formula>AND(COUNTIF(G38:L38,"&lt;&gt;" &amp; "")&gt;0,NOT(ISBLANK(E38)))</formula>
    </cfRule>
  </conditionalFormatting>
  <conditionalFormatting sqref="G5:I5 K5 M5 O5 Q5:AA5">
    <cfRule type="expression" dxfId="643" priority="3">
      <formula>COUNTIF(J5:N5,"&lt;&gt;" &amp; "")&gt;0</formula>
    </cfRule>
    <cfRule type="expression" dxfId="642" priority="4">
      <formula>AND(COUNTIF(J5:N5,"&lt;&gt;" &amp; "")&gt;0,NOT(ISBLANK(G5)))</formula>
    </cfRule>
  </conditionalFormatting>
  <dataValidations count="2">
    <dataValidation type="list" allowBlank="1" showInputMessage="1" showErrorMessage="1" sqref="C38 C2 C26 C20 C17 C14 C11 C8 C5 C29 C23" xr:uid="{00000000-0002-0000-0700-000000000000}">
      <formula1>"Proportion"</formula1>
    </dataValidation>
    <dataValidation type="list" allowBlank="1" showInputMessage="1" showErrorMessage="1" sqref="C32 C35" xr:uid="{5E697CA2-8EAD-4F97-856C-C3BD9E3E4C27}">
      <formula1>"Number"</formula1>
    </dataValidation>
  </dataValidations>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sheetPr>
  <dimension ref="A1:L14"/>
  <sheetViews>
    <sheetView workbookViewId="0">
      <selection activeCell="A16" sqref="A16:XFD16"/>
    </sheetView>
  </sheetViews>
  <sheetFormatPr defaultRowHeight="14.5" x14ac:dyDescent="0.35"/>
  <cols>
    <col min="1" max="1" width="111.726562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188</v>
      </c>
      <c r="B1" s="1" t="s">
        <v>28</v>
      </c>
      <c r="C1" s="1" t="s">
        <v>29</v>
      </c>
      <c r="D1" s="1" t="s">
        <v>30</v>
      </c>
      <c r="E1" s="1" t="s">
        <v>31</v>
      </c>
      <c r="F1" s="1"/>
      <c r="G1" s="1">
        <v>2020</v>
      </c>
      <c r="H1" s="1">
        <v>2021</v>
      </c>
      <c r="I1" s="1">
        <v>2022</v>
      </c>
      <c r="J1" s="1">
        <v>2023</v>
      </c>
      <c r="K1" s="1">
        <v>2024</v>
      </c>
      <c r="L1" s="1">
        <v>2025</v>
      </c>
    </row>
    <row r="2" spans="1:12" x14ac:dyDescent="0.35">
      <c r="A2" s="1" t="str">
        <f>'Population Definitions'!$A$10</f>
        <v>oth_hm</v>
      </c>
      <c r="B2" t="s">
        <v>32</v>
      </c>
      <c r="C2" t="s">
        <v>36</v>
      </c>
      <c r="D2" s="3"/>
      <c r="E2" s="9">
        <v>1</v>
      </c>
      <c r="F2" s="4" t="s">
        <v>34</v>
      </c>
      <c r="G2" s="3"/>
      <c r="H2" s="3"/>
      <c r="I2" s="3"/>
      <c r="J2" s="3"/>
      <c r="K2" s="3"/>
      <c r="L2" s="3"/>
    </row>
    <row r="4" spans="1:12" x14ac:dyDescent="0.35">
      <c r="A4" s="1" t="s">
        <v>85</v>
      </c>
      <c r="B4" s="1" t="s">
        <v>28</v>
      </c>
      <c r="C4" s="1" t="s">
        <v>29</v>
      </c>
      <c r="D4" s="1" t="s">
        <v>30</v>
      </c>
      <c r="E4" s="1" t="s">
        <v>31</v>
      </c>
      <c r="F4" s="1"/>
      <c r="G4" s="1">
        <v>2020</v>
      </c>
      <c r="H4" s="1">
        <v>2021</v>
      </c>
      <c r="I4" s="1">
        <v>2022</v>
      </c>
      <c r="J4" s="1">
        <v>2023</v>
      </c>
      <c r="K4" s="1">
        <v>2024</v>
      </c>
      <c r="L4" s="1">
        <v>2025</v>
      </c>
    </row>
    <row r="5" spans="1:12" x14ac:dyDescent="0.35">
      <c r="A5" s="1" t="str">
        <f>'Population Definitions'!$A$10</f>
        <v>oth_hm</v>
      </c>
      <c r="B5" t="s">
        <v>32</v>
      </c>
      <c r="C5" t="s">
        <v>36</v>
      </c>
      <c r="D5" s="3"/>
      <c r="E5" s="9">
        <v>1.8295114051425367E-3</v>
      </c>
      <c r="F5" s="4" t="s">
        <v>34</v>
      </c>
      <c r="G5" s="3"/>
      <c r="H5" s="3"/>
      <c r="I5" s="3"/>
      <c r="J5" s="3"/>
      <c r="K5" s="3"/>
      <c r="L5" s="3"/>
    </row>
    <row r="7" spans="1:12" x14ac:dyDescent="0.35">
      <c r="A7" s="1" t="s">
        <v>221</v>
      </c>
      <c r="B7" s="1" t="s">
        <v>28</v>
      </c>
      <c r="C7" s="1" t="s">
        <v>29</v>
      </c>
      <c r="D7" s="1" t="s">
        <v>30</v>
      </c>
      <c r="E7" s="1" t="s">
        <v>31</v>
      </c>
      <c r="F7" s="1"/>
      <c r="G7" s="1">
        <v>2020</v>
      </c>
      <c r="H7" s="1">
        <v>2021</v>
      </c>
      <c r="I7" s="1">
        <v>2022</v>
      </c>
      <c r="J7" s="1">
        <v>2023</v>
      </c>
      <c r="K7" s="1">
        <v>2024</v>
      </c>
      <c r="L7" s="1">
        <v>2025</v>
      </c>
    </row>
    <row r="8" spans="1:12" x14ac:dyDescent="0.35">
      <c r="A8" s="1" t="str">
        <f>'Population Definitions'!$A$10</f>
        <v>oth_hm</v>
      </c>
      <c r="B8" t="s">
        <v>32</v>
      </c>
      <c r="C8" t="s">
        <v>36</v>
      </c>
      <c r="D8" s="3"/>
      <c r="E8" s="3">
        <v>0</v>
      </c>
      <c r="F8" s="4" t="s">
        <v>34</v>
      </c>
      <c r="G8" s="3"/>
      <c r="H8" s="3"/>
      <c r="I8" s="3"/>
      <c r="J8" s="3"/>
      <c r="K8" s="3"/>
      <c r="L8" s="3"/>
    </row>
    <row r="10" spans="1:12" x14ac:dyDescent="0.35">
      <c r="A10" s="1" t="s">
        <v>222</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Definitions'!$A$10</f>
        <v>oth_hm</v>
      </c>
      <c r="B11" t="s">
        <v>32</v>
      </c>
      <c r="C11" t="s">
        <v>64</v>
      </c>
      <c r="D11" s="3"/>
      <c r="E11" s="3">
        <v>0</v>
      </c>
      <c r="F11" s="4" t="s">
        <v>34</v>
      </c>
      <c r="G11" s="3"/>
      <c r="H11" s="3"/>
      <c r="I11" s="3"/>
      <c r="J11" s="3"/>
      <c r="K11" s="3"/>
      <c r="L11" s="3"/>
    </row>
    <row r="13" spans="1:12" x14ac:dyDescent="0.35">
      <c r="A13" s="1" t="s">
        <v>223</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Definitions'!$A$10</f>
        <v>oth_hm</v>
      </c>
      <c r="B14" t="s">
        <v>32</v>
      </c>
      <c r="C14" t="s">
        <v>64</v>
      </c>
      <c r="D14" s="3"/>
      <c r="E14" s="3">
        <v>0</v>
      </c>
      <c r="F14" s="4" t="s">
        <v>34</v>
      </c>
      <c r="G14" s="3"/>
      <c r="H14" s="3"/>
      <c r="I14" s="3"/>
      <c r="J14" s="3"/>
      <c r="K14" s="3"/>
      <c r="L14" s="3"/>
    </row>
  </sheetData>
  <conditionalFormatting sqref="E8">
    <cfRule type="expression" dxfId="641" priority="13">
      <formula>COUNTIF(G8:L8,"&lt;&gt;" &amp; "")&gt;0</formula>
    </cfRule>
    <cfRule type="expression" dxfId="640" priority="14">
      <formula>AND(COUNTIF(G8:L8,"&lt;&gt;" &amp; "")&gt;0,NOT(ISBLANK(E8)))</formula>
    </cfRule>
  </conditionalFormatting>
  <conditionalFormatting sqref="E11">
    <cfRule type="expression" dxfId="639" priority="3">
      <formula>COUNTIF(G11:L11,"&lt;&gt;" &amp; "")&gt;0</formula>
    </cfRule>
    <cfRule type="expression" dxfId="638" priority="4">
      <formula>AND(COUNTIF(G11:L11,"&lt;&gt;" &amp; "")&gt;0,NOT(ISBLANK(E11)))</formula>
    </cfRule>
  </conditionalFormatting>
  <conditionalFormatting sqref="E14">
    <cfRule type="expression" dxfId="637" priority="1">
      <formula>COUNTIF(G14:L14,"&lt;&gt;" &amp; "")&gt;0</formula>
    </cfRule>
    <cfRule type="expression" dxfId="636" priority="2">
      <formula>AND(COUNTIF(G14:L14,"&lt;&gt;" &amp; "")&gt;0,NOT(ISBLANK(E14)))</formula>
    </cfRule>
  </conditionalFormatting>
  <dataValidations count="1">
    <dataValidation type="list" allowBlank="1" showInputMessage="1" showErrorMessage="1" sqref="C8 C5 C2" xr:uid="{00000000-0002-0000-0800-000000000000}">
      <formula1>"Proportion"</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8080"/>
  </sheetPr>
  <dimension ref="A1:L32"/>
  <sheetViews>
    <sheetView zoomScale="106" zoomScaleNormal="106" workbookViewId="0">
      <selection activeCell="A4" sqref="A1:L1048576"/>
    </sheetView>
  </sheetViews>
  <sheetFormatPr defaultRowHeight="14.5" x14ac:dyDescent="0.35"/>
  <cols>
    <col min="1" max="1" width="102.453125" style="15" customWidth="1"/>
    <col min="2" max="2" width="30.26953125" style="15" hidden="1" customWidth="1"/>
    <col min="3" max="3" width="12.7265625" style="15" hidden="1" customWidth="1"/>
    <col min="4" max="4" width="13.81640625" style="15" hidden="1" customWidth="1"/>
    <col min="5" max="5" width="10.54296875" style="15" customWidth="1"/>
    <col min="6" max="6" width="3.81640625" style="15" customWidth="1"/>
    <col min="7" max="12" width="9.453125" style="15" customWidth="1"/>
  </cols>
  <sheetData>
    <row r="1" spans="1:12" x14ac:dyDescent="0.35">
      <c r="A1" s="14" t="s">
        <v>86</v>
      </c>
      <c r="B1" s="14" t="s">
        <v>28</v>
      </c>
      <c r="C1" s="14" t="s">
        <v>29</v>
      </c>
      <c r="D1" s="14" t="s">
        <v>30</v>
      </c>
      <c r="E1" s="14" t="s">
        <v>31</v>
      </c>
      <c r="F1" s="14"/>
      <c r="G1" s="14">
        <v>2020</v>
      </c>
      <c r="H1" s="14">
        <v>2021</v>
      </c>
      <c r="I1" s="14">
        <v>2022</v>
      </c>
      <c r="J1" s="14">
        <v>2023</v>
      </c>
      <c r="K1" s="14">
        <v>2024</v>
      </c>
      <c r="L1" s="14">
        <v>2025</v>
      </c>
    </row>
    <row r="2" spans="1:12" x14ac:dyDescent="0.35">
      <c r="A2" s="14" t="str">
        <f>'Population Definitions'!$A$11</f>
        <v>nsep_hm</v>
      </c>
      <c r="B2" s="15" t="s">
        <v>32</v>
      </c>
      <c r="C2" s="15" t="s">
        <v>36</v>
      </c>
      <c r="D2" s="16"/>
      <c r="E2" s="16">
        <v>4.42</v>
      </c>
      <c r="F2" s="17" t="s">
        <v>34</v>
      </c>
      <c r="G2" s="16"/>
      <c r="H2" s="16"/>
      <c r="I2" s="16"/>
      <c r="J2" s="16"/>
      <c r="K2" s="16"/>
      <c r="L2" s="16"/>
    </row>
    <row r="4" spans="1:12" x14ac:dyDescent="0.35">
      <c r="A4" s="14" t="s">
        <v>186</v>
      </c>
      <c r="B4" s="14" t="s">
        <v>28</v>
      </c>
      <c r="C4" s="14" t="s">
        <v>29</v>
      </c>
      <c r="D4" s="14" t="s">
        <v>30</v>
      </c>
      <c r="E4" s="14" t="s">
        <v>31</v>
      </c>
      <c r="F4" s="14"/>
      <c r="G4" s="14">
        <v>2020</v>
      </c>
      <c r="H4" s="14">
        <v>2021</v>
      </c>
      <c r="I4" s="14">
        <v>2022</v>
      </c>
      <c r="J4" s="14">
        <v>2023</v>
      </c>
      <c r="K4" s="14">
        <v>2024</v>
      </c>
      <c r="L4" s="14">
        <v>2025</v>
      </c>
    </row>
    <row r="5" spans="1:12" x14ac:dyDescent="0.35">
      <c r="A5" s="14" t="str">
        <f>'Population Definitions'!$A$11</f>
        <v>nsep_hm</v>
      </c>
      <c r="B5" s="15" t="s">
        <v>32</v>
      </c>
      <c r="C5" s="15" t="s">
        <v>36</v>
      </c>
      <c r="D5" s="16"/>
      <c r="E5" s="28">
        <v>0.9</v>
      </c>
      <c r="F5" s="17" t="s">
        <v>34</v>
      </c>
      <c r="G5" s="16"/>
      <c r="H5" s="16"/>
      <c r="I5" s="16"/>
      <c r="J5" s="16"/>
      <c r="K5" s="16"/>
      <c r="L5" s="16"/>
    </row>
    <row r="7" spans="1:12" x14ac:dyDescent="0.35">
      <c r="A7" s="14" t="s">
        <v>87</v>
      </c>
      <c r="B7" s="14" t="s">
        <v>28</v>
      </c>
      <c r="C7" s="14" t="s">
        <v>29</v>
      </c>
      <c r="D7" s="14" t="s">
        <v>30</v>
      </c>
      <c r="E7" s="14" t="s">
        <v>31</v>
      </c>
      <c r="F7" s="14"/>
      <c r="G7" s="14">
        <v>2020</v>
      </c>
      <c r="H7" s="14">
        <v>2021</v>
      </c>
      <c r="I7" s="14">
        <v>2022</v>
      </c>
      <c r="J7" s="14">
        <v>2023</v>
      </c>
      <c r="K7" s="14">
        <v>2024</v>
      </c>
      <c r="L7" s="14">
        <v>2025</v>
      </c>
    </row>
    <row r="8" spans="1:12" x14ac:dyDescent="0.35">
      <c r="A8" s="14" t="str">
        <f>'Population Definitions'!$A$11</f>
        <v>nsep_hm</v>
      </c>
      <c r="B8" s="15" t="s">
        <v>32</v>
      </c>
      <c r="C8" s="15" t="s">
        <v>36</v>
      </c>
      <c r="D8" s="16"/>
      <c r="E8" s="16">
        <v>0</v>
      </c>
      <c r="F8" s="17" t="s">
        <v>34</v>
      </c>
      <c r="G8" s="16"/>
      <c r="H8" s="16"/>
      <c r="I8" s="16"/>
      <c r="J8" s="16"/>
      <c r="K8" s="16"/>
      <c r="L8" s="16"/>
    </row>
    <row r="10" spans="1:12" s="10" customFormat="1" x14ac:dyDescent="0.35">
      <c r="A10" s="14" t="s">
        <v>88</v>
      </c>
      <c r="B10" s="14" t="s">
        <v>28</v>
      </c>
      <c r="C10" s="14" t="s">
        <v>29</v>
      </c>
      <c r="D10" s="14" t="s">
        <v>30</v>
      </c>
      <c r="E10" s="14" t="s">
        <v>31</v>
      </c>
      <c r="F10" s="14"/>
      <c r="G10" s="14">
        <v>2020</v>
      </c>
      <c r="H10" s="14">
        <v>2021</v>
      </c>
      <c r="I10" s="14">
        <v>2022</v>
      </c>
      <c r="J10" s="14">
        <v>2023</v>
      </c>
      <c r="K10" s="14">
        <v>2024</v>
      </c>
      <c r="L10" s="14">
        <v>2025</v>
      </c>
    </row>
    <row r="11" spans="1:12" x14ac:dyDescent="0.35">
      <c r="A11" s="14" t="str">
        <f>'Population Definitions'!$A$11</f>
        <v>nsep_hm</v>
      </c>
      <c r="B11" s="15" t="s">
        <v>32</v>
      </c>
      <c r="C11" s="15" t="s">
        <v>36</v>
      </c>
      <c r="D11" s="16"/>
      <c r="E11" s="15">
        <v>1.70837E-2</v>
      </c>
      <c r="F11" s="17" t="s">
        <v>34</v>
      </c>
      <c r="G11" s="18"/>
      <c r="H11" s="16"/>
      <c r="I11" s="16"/>
      <c r="J11" s="16"/>
      <c r="K11" s="16"/>
      <c r="L11" s="16"/>
    </row>
    <row r="13" spans="1:12" s="10" customFormat="1" x14ac:dyDescent="0.35">
      <c r="A13" s="14" t="s">
        <v>89</v>
      </c>
      <c r="B13" s="14" t="s">
        <v>28</v>
      </c>
      <c r="C13" s="14" t="s">
        <v>29</v>
      </c>
      <c r="D13" s="14" t="s">
        <v>30</v>
      </c>
      <c r="E13" s="14" t="s">
        <v>31</v>
      </c>
      <c r="F13" s="14"/>
      <c r="G13" s="14">
        <v>2020</v>
      </c>
      <c r="H13" s="14">
        <v>2021</v>
      </c>
      <c r="I13" s="14">
        <v>2022</v>
      </c>
      <c r="J13" s="14">
        <v>2023</v>
      </c>
      <c r="K13" s="14">
        <v>2024</v>
      </c>
      <c r="L13" s="14">
        <v>2025</v>
      </c>
    </row>
    <row r="14" spans="1:12" x14ac:dyDescent="0.35">
      <c r="A14" s="14" t="str">
        <f>'Population Definitions'!$A$11</f>
        <v>nsep_hm</v>
      </c>
      <c r="B14" s="15" t="s">
        <v>32</v>
      </c>
      <c r="C14" s="15" t="s">
        <v>36</v>
      </c>
      <c r="D14" s="16"/>
      <c r="E14" s="15">
        <f>E11</f>
        <v>1.70837E-2</v>
      </c>
      <c r="F14" s="17" t="s">
        <v>34</v>
      </c>
      <c r="G14" s="16"/>
      <c r="H14" s="16"/>
      <c r="I14" s="16"/>
      <c r="J14" s="16"/>
      <c r="K14" s="16"/>
      <c r="L14" s="16"/>
    </row>
    <row r="16" spans="1:12" s="10" customFormat="1" x14ac:dyDescent="0.35">
      <c r="A16" s="14" t="s">
        <v>90</v>
      </c>
      <c r="B16" s="14" t="s">
        <v>28</v>
      </c>
      <c r="C16" s="14" t="s">
        <v>29</v>
      </c>
      <c r="D16" s="14" t="s">
        <v>30</v>
      </c>
      <c r="E16" s="14" t="s">
        <v>31</v>
      </c>
      <c r="F16" s="14"/>
      <c r="G16" s="14">
        <v>2020</v>
      </c>
      <c r="H16" s="14">
        <v>2021</v>
      </c>
      <c r="I16" s="14">
        <v>2022</v>
      </c>
      <c r="J16" s="14">
        <v>2023</v>
      </c>
      <c r="K16" s="14">
        <v>2024</v>
      </c>
      <c r="L16" s="14">
        <v>2025</v>
      </c>
    </row>
    <row r="17" spans="1:12" x14ac:dyDescent="0.35">
      <c r="A17" s="14" t="str">
        <f>'Population Definitions'!$A$11</f>
        <v>nsep_hm</v>
      </c>
      <c r="B17" s="15" t="s">
        <v>32</v>
      </c>
      <c r="C17" s="15" t="s">
        <v>36</v>
      </c>
      <c r="D17" s="16"/>
      <c r="E17" s="16">
        <v>5.1049900000000002E-2</v>
      </c>
      <c r="F17" s="17" t="s">
        <v>34</v>
      </c>
      <c r="G17" s="18"/>
      <c r="H17" s="16"/>
      <c r="I17" s="16"/>
      <c r="J17" s="16"/>
      <c r="K17" s="16"/>
      <c r="L17" s="16"/>
    </row>
    <row r="19" spans="1:12" x14ac:dyDescent="0.35">
      <c r="A19" s="14" t="s">
        <v>224</v>
      </c>
      <c r="B19" s="14" t="s">
        <v>28</v>
      </c>
      <c r="C19" s="14" t="s">
        <v>29</v>
      </c>
      <c r="D19" s="14" t="s">
        <v>30</v>
      </c>
      <c r="E19" s="14" t="s">
        <v>31</v>
      </c>
      <c r="F19" s="14"/>
      <c r="G19" s="14">
        <v>2020</v>
      </c>
      <c r="H19" s="14">
        <v>2021</v>
      </c>
      <c r="I19" s="14">
        <v>2022</v>
      </c>
      <c r="J19" s="14">
        <v>2023</v>
      </c>
      <c r="K19" s="14">
        <v>2024</v>
      </c>
      <c r="L19" s="14">
        <v>2025</v>
      </c>
    </row>
    <row r="20" spans="1:12" x14ac:dyDescent="0.35">
      <c r="A20" s="14" t="str">
        <f>'Population Definitions'!$A$11</f>
        <v>nsep_hm</v>
      </c>
      <c r="B20" s="15" t="s">
        <v>32</v>
      </c>
      <c r="C20" s="15" t="s">
        <v>36</v>
      </c>
      <c r="D20" s="16"/>
      <c r="E20" s="16">
        <v>0.96099999999999997</v>
      </c>
      <c r="F20" s="17" t="s">
        <v>34</v>
      </c>
      <c r="G20" s="16"/>
      <c r="H20" s="16"/>
      <c r="I20" s="16"/>
      <c r="J20" s="16"/>
      <c r="K20" s="16"/>
      <c r="L20" s="16"/>
    </row>
    <row r="22" spans="1:12" x14ac:dyDescent="0.35">
      <c r="A22" s="14" t="s">
        <v>202</v>
      </c>
      <c r="B22" s="14" t="s">
        <v>28</v>
      </c>
      <c r="C22" s="14" t="s">
        <v>29</v>
      </c>
      <c r="D22" s="14" t="s">
        <v>30</v>
      </c>
      <c r="E22" s="14" t="s">
        <v>31</v>
      </c>
      <c r="F22" s="14"/>
      <c r="G22" s="14">
        <v>2020</v>
      </c>
      <c r="H22" s="14">
        <v>2021</v>
      </c>
      <c r="I22" s="14">
        <v>2022</v>
      </c>
      <c r="J22" s="14">
        <v>2023</v>
      </c>
      <c r="K22" s="14">
        <v>2024</v>
      </c>
      <c r="L22" s="14">
        <v>2025</v>
      </c>
    </row>
    <row r="23" spans="1:12" x14ac:dyDescent="0.35">
      <c r="A23" s="14" t="str">
        <f>'Population Definitions'!$A$11</f>
        <v>nsep_hm</v>
      </c>
      <c r="C23" s="15" t="s">
        <v>64</v>
      </c>
      <c r="D23" s="16"/>
      <c r="E23" s="20">
        <v>1732108.2</v>
      </c>
      <c r="F23" s="17" t="s">
        <v>34</v>
      </c>
      <c r="G23" s="23"/>
      <c r="H23" s="23"/>
      <c r="I23" s="23"/>
      <c r="J23" s="23"/>
      <c r="K23" s="23"/>
      <c r="L23" s="23"/>
    </row>
    <row r="25" spans="1:12" x14ac:dyDescent="0.35">
      <c r="A25" s="14" t="s">
        <v>203</v>
      </c>
      <c r="B25" s="14" t="s">
        <v>28</v>
      </c>
      <c r="C25" s="14" t="s">
        <v>29</v>
      </c>
      <c r="D25" s="14" t="s">
        <v>30</v>
      </c>
      <c r="E25" s="14" t="s">
        <v>31</v>
      </c>
      <c r="F25" s="14"/>
      <c r="G25" s="14">
        <v>2020</v>
      </c>
      <c r="H25" s="14">
        <v>2021</v>
      </c>
      <c r="I25" s="14">
        <v>2022</v>
      </c>
      <c r="J25" s="14">
        <v>2023</v>
      </c>
      <c r="K25" s="14">
        <v>2024</v>
      </c>
      <c r="L25" s="14">
        <v>2025</v>
      </c>
    </row>
    <row r="26" spans="1:12" x14ac:dyDescent="0.35">
      <c r="A26" s="14" t="str">
        <f>'Population Definitions'!$A$11</f>
        <v>nsep_hm</v>
      </c>
      <c r="B26" s="15" t="s">
        <v>32</v>
      </c>
      <c r="C26" s="15" t="s">
        <v>64</v>
      </c>
      <c r="D26" s="16"/>
      <c r="E26" s="15">
        <v>55813.957000000002</v>
      </c>
      <c r="F26" s="17" t="s">
        <v>34</v>
      </c>
      <c r="G26" s="16"/>
      <c r="H26" s="16"/>
      <c r="I26" s="16"/>
      <c r="J26" s="16"/>
      <c r="K26" s="16"/>
      <c r="L26" s="16"/>
    </row>
    <row r="28" spans="1:12" x14ac:dyDescent="0.35">
      <c r="A28" s="14" t="s">
        <v>91</v>
      </c>
      <c r="B28" s="14" t="s">
        <v>28</v>
      </c>
      <c r="C28" s="14" t="s">
        <v>29</v>
      </c>
      <c r="D28" s="14" t="s">
        <v>30</v>
      </c>
      <c r="E28" s="14" t="s">
        <v>31</v>
      </c>
      <c r="F28" s="14"/>
      <c r="G28" s="14">
        <v>2020</v>
      </c>
      <c r="H28" s="14">
        <v>2021</v>
      </c>
      <c r="I28" s="14">
        <v>2022</v>
      </c>
      <c r="J28" s="14">
        <v>2023</v>
      </c>
      <c r="K28" s="14">
        <v>2024</v>
      </c>
      <c r="L28" s="14">
        <v>2025</v>
      </c>
    </row>
    <row r="29" spans="1:12" x14ac:dyDescent="0.35">
      <c r="A29" s="14" t="str">
        <f>'Population Definitions'!$A$11</f>
        <v>nsep_hm</v>
      </c>
      <c r="B29" s="15" t="s">
        <v>32</v>
      </c>
      <c r="C29" s="15" t="s">
        <v>36</v>
      </c>
      <c r="D29" s="16"/>
      <c r="E29" s="19">
        <v>0.63400000000000001</v>
      </c>
      <c r="F29" s="17" t="s">
        <v>34</v>
      </c>
      <c r="G29" s="16"/>
      <c r="H29" s="16"/>
      <c r="I29" s="16"/>
      <c r="J29" s="16"/>
      <c r="K29" s="16"/>
      <c r="L29" s="16"/>
    </row>
    <row r="31" spans="1:12" x14ac:dyDescent="0.35">
      <c r="A31" s="14" t="s">
        <v>368</v>
      </c>
      <c r="E31" s="14" t="s">
        <v>31</v>
      </c>
      <c r="G31" s="14">
        <v>2020</v>
      </c>
      <c r="H31" s="14">
        <v>2021</v>
      </c>
      <c r="I31" s="14">
        <v>2022</v>
      </c>
      <c r="J31" s="14">
        <v>2023</v>
      </c>
      <c r="K31" s="14">
        <v>2024</v>
      </c>
      <c r="L31" s="14">
        <v>2025</v>
      </c>
    </row>
    <row r="32" spans="1:12" x14ac:dyDescent="0.35">
      <c r="A32" s="14" t="s">
        <v>17</v>
      </c>
      <c r="E32" s="15">
        <v>0</v>
      </c>
      <c r="F32" s="17" t="s">
        <v>34</v>
      </c>
      <c r="G32" s="16"/>
      <c r="H32" s="16"/>
      <c r="I32" s="16"/>
      <c r="J32" s="16"/>
      <c r="K32" s="16"/>
      <c r="L32" s="16"/>
    </row>
  </sheetData>
  <conditionalFormatting sqref="E2">
    <cfRule type="expression" dxfId="635" priority="5">
      <formula>COUNTIF(G2:L2,"&lt;&gt;" &amp; "")&gt;0</formula>
    </cfRule>
    <cfRule type="expression" dxfId="634" priority="6">
      <formula>AND(COUNTIF(G2:L2,"&lt;&gt;" &amp; "")&gt;0,NOT(ISBLANK(E2)))</formula>
    </cfRule>
  </conditionalFormatting>
  <conditionalFormatting sqref="E8">
    <cfRule type="expression" dxfId="633" priority="19">
      <formula>COUNTIF(G8:L8,"&lt;&gt;" &amp; "")&gt;0</formula>
    </cfRule>
    <cfRule type="expression" dxfId="632" priority="20">
      <formula>AND(COUNTIF(G8:L8,"&lt;&gt;" &amp; "")&gt;0,NOT(ISBLANK(E8)))</formula>
    </cfRule>
  </conditionalFormatting>
  <conditionalFormatting sqref="E11">
    <cfRule type="expression" dxfId="631" priority="25">
      <formula>COUNTIF(G11:L11,"&lt;&gt;" &amp; "")&gt;0</formula>
    </cfRule>
    <cfRule type="expression" dxfId="630" priority="26">
      <formula>AND(COUNTIF(G11:L11,"&lt;&gt;" &amp; "")&gt;0,NOT(ISBLANK(E11)))</formula>
    </cfRule>
  </conditionalFormatting>
  <conditionalFormatting sqref="E14">
    <cfRule type="expression" dxfId="629" priority="27">
      <formula>COUNTIF(G14:L14,"&lt;&gt;" &amp; "")&gt;0</formula>
    </cfRule>
    <cfRule type="expression" dxfId="628" priority="28">
      <formula>AND(COUNTIF(G14:L14,"&lt;&gt;" &amp; "")&gt;0,NOT(ISBLANK(E14)))</formula>
    </cfRule>
  </conditionalFormatting>
  <conditionalFormatting sqref="E17">
    <cfRule type="expression" dxfId="627" priority="33">
      <formula>COUNTIF(G17:L17,"&lt;&gt;" &amp; "")&gt;0</formula>
    </cfRule>
    <cfRule type="expression" dxfId="626" priority="34">
      <formula>AND(COUNTIF(G17:L17,"&lt;&gt;" &amp; "")&gt;0,NOT(ISBLANK(E17)))</formula>
    </cfRule>
  </conditionalFormatting>
  <conditionalFormatting sqref="E20">
    <cfRule type="expression" dxfId="625" priority="35">
      <formula>COUNTIF(G20:L20,"&lt;&gt;" &amp; "")&gt;0</formula>
    </cfRule>
    <cfRule type="expression" dxfId="624" priority="36">
      <formula>AND(COUNTIF(G20:L20,"&lt;&gt;" &amp; "")&gt;0,NOT(ISBLANK(E20)))</formula>
    </cfRule>
  </conditionalFormatting>
  <conditionalFormatting sqref="E23">
    <cfRule type="expression" dxfId="623" priority="1">
      <formula>COUNTIF(G23:L23,"&lt;&gt;" &amp; "")&gt;0</formula>
    </cfRule>
    <cfRule type="expression" dxfId="622" priority="2">
      <formula>AND(COUNTIF(G23:L23,"&lt;&gt;" &amp; "")&gt;0,NOT(ISBLANK(E23)))</formula>
    </cfRule>
  </conditionalFormatting>
  <conditionalFormatting sqref="E26">
    <cfRule type="expression" dxfId="621" priority="3">
      <formula>COUNTIF(G26:L26,"&lt;&gt;" &amp; "")&gt;0</formula>
    </cfRule>
    <cfRule type="expression" dxfId="620" priority="4">
      <formula>AND(COUNTIF(G26:L26,"&lt;&gt;" &amp; "")&gt;0,NOT(ISBLANK(E26)))</formula>
    </cfRule>
  </conditionalFormatting>
  <dataValidations count="2">
    <dataValidation type="list" allowBlank="1" showInputMessage="1" showErrorMessage="1" sqref="C2 C29 C5 C17 C14 C11 C8 C20" xr:uid="{00000000-0002-0000-0900-000000000000}">
      <formula1>"Proportion"</formula1>
    </dataValidation>
    <dataValidation type="list" allowBlank="1" showInputMessage="1" showErrorMessage="1" sqref="C23 C26" xr:uid="{A5F3FF01-98B4-4419-BD50-A32F68D3A3AB}">
      <formula1>"Number"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AA116"/>
  <sheetViews>
    <sheetView topLeftCell="A10" zoomScaleNormal="100" workbookViewId="0">
      <selection activeCell="A23" sqref="A23:A24"/>
    </sheetView>
  </sheetViews>
  <sheetFormatPr defaultRowHeight="14.5" x14ac:dyDescent="0.35"/>
  <cols>
    <col min="1" max="1" width="107.26953125" style="15" customWidth="1"/>
    <col min="2" max="2" width="30.26953125" style="15" customWidth="1"/>
    <col min="3" max="3" width="12.7265625" style="15" customWidth="1"/>
    <col min="4" max="4" width="13.81640625" style="15" customWidth="1"/>
    <col min="5" max="5" width="10.54296875" style="15" customWidth="1"/>
    <col min="6" max="6" width="3.81640625" style="15" customWidth="1"/>
    <col min="7" max="12" width="9.453125" style="15" customWidth="1"/>
  </cols>
  <sheetData>
    <row r="1" spans="1:27" x14ac:dyDescent="0.35">
      <c r="A1" s="14" t="s">
        <v>273</v>
      </c>
      <c r="B1" s="14" t="s">
        <v>28</v>
      </c>
      <c r="C1" s="14" t="s">
        <v>29</v>
      </c>
      <c r="D1" s="14" t="s">
        <v>30</v>
      </c>
      <c r="E1" s="14" t="s">
        <v>31</v>
      </c>
      <c r="F1" s="14"/>
      <c r="G1" s="14">
        <v>2020</v>
      </c>
      <c r="H1" s="14">
        <v>2021</v>
      </c>
      <c r="I1" s="14">
        <v>2022</v>
      </c>
      <c r="J1" s="14">
        <v>2023</v>
      </c>
      <c r="K1" s="14">
        <v>2024</v>
      </c>
      <c r="L1" s="14">
        <v>2025</v>
      </c>
      <c r="M1" s="1">
        <v>2026</v>
      </c>
      <c r="N1" s="1">
        <v>2027</v>
      </c>
      <c r="O1" s="1">
        <v>2028</v>
      </c>
      <c r="P1" s="1">
        <v>2029</v>
      </c>
      <c r="Q1" s="1">
        <v>2030</v>
      </c>
      <c r="R1" s="1">
        <v>2031</v>
      </c>
      <c r="S1" s="1">
        <v>2032</v>
      </c>
      <c r="T1" s="1">
        <v>2033</v>
      </c>
      <c r="U1" s="1">
        <v>2034</v>
      </c>
      <c r="V1" s="1">
        <v>2035</v>
      </c>
      <c r="W1" s="1">
        <v>2036</v>
      </c>
      <c r="X1" s="1">
        <v>2037</v>
      </c>
      <c r="Y1" s="1">
        <v>2038</v>
      </c>
      <c r="Z1" s="1">
        <v>2039</v>
      </c>
      <c r="AA1" s="1">
        <v>2040</v>
      </c>
    </row>
    <row r="2" spans="1:27" x14ac:dyDescent="0.35">
      <c r="A2" s="14" t="str">
        <f>'Population Definitions'!$A$12</f>
        <v>pt_hm</v>
      </c>
      <c r="B2" s="15" t="s">
        <v>32</v>
      </c>
      <c r="C2" s="15" t="s">
        <v>36</v>
      </c>
      <c r="D2" s="16"/>
      <c r="E2" s="15">
        <v>0.5</v>
      </c>
      <c r="F2" s="17" t="s">
        <v>34</v>
      </c>
      <c r="G2" s="16">
        <v>0.5</v>
      </c>
      <c r="H2" s="16">
        <v>0.5</v>
      </c>
      <c r="I2" s="16">
        <v>0.5</v>
      </c>
      <c r="J2" s="16">
        <v>0.5625</v>
      </c>
      <c r="K2" s="16">
        <v>0.625</v>
      </c>
      <c r="L2" s="16">
        <v>0.6875</v>
      </c>
      <c r="M2" s="3">
        <v>0.75</v>
      </c>
      <c r="N2" s="3">
        <v>0.8125</v>
      </c>
      <c r="O2" s="3">
        <v>0.875</v>
      </c>
      <c r="P2" s="3">
        <v>0.9375</v>
      </c>
      <c r="Q2" s="3">
        <v>1</v>
      </c>
      <c r="R2" s="3">
        <v>1</v>
      </c>
      <c r="S2" s="3">
        <v>1</v>
      </c>
      <c r="T2" s="3">
        <v>1</v>
      </c>
      <c r="U2" s="3">
        <v>1</v>
      </c>
      <c r="V2" s="3">
        <v>1</v>
      </c>
      <c r="W2" s="3">
        <v>1</v>
      </c>
      <c r="X2" s="3">
        <v>1</v>
      </c>
      <c r="Y2" s="3">
        <v>1</v>
      </c>
      <c r="Z2" s="3">
        <v>1</v>
      </c>
      <c r="AA2" s="3">
        <v>1</v>
      </c>
    </row>
    <row r="4" spans="1:27" x14ac:dyDescent="0.35">
      <c r="A4" s="14" t="s">
        <v>291</v>
      </c>
      <c r="B4" s="14" t="s">
        <v>28</v>
      </c>
      <c r="C4" s="14" t="s">
        <v>29</v>
      </c>
      <c r="D4" s="14" t="s">
        <v>30</v>
      </c>
      <c r="E4" s="14" t="s">
        <v>31</v>
      </c>
      <c r="G4" s="14">
        <v>2020</v>
      </c>
      <c r="H4" s="14">
        <v>2021</v>
      </c>
      <c r="I4" s="14">
        <v>2022</v>
      </c>
      <c r="J4" s="14">
        <v>2023</v>
      </c>
      <c r="K4" s="14">
        <v>2024</v>
      </c>
      <c r="L4" s="14">
        <v>2025</v>
      </c>
      <c r="M4" s="1">
        <v>2026</v>
      </c>
      <c r="N4" s="1">
        <v>2027</v>
      </c>
      <c r="O4" s="1">
        <v>2028</v>
      </c>
      <c r="P4" s="1">
        <v>2029</v>
      </c>
      <c r="Q4" s="1">
        <v>2030</v>
      </c>
      <c r="R4" s="1">
        <v>2031</v>
      </c>
      <c r="S4" s="1">
        <v>2032</v>
      </c>
      <c r="T4" s="1">
        <v>2033</v>
      </c>
      <c r="U4" s="1">
        <v>2034</v>
      </c>
      <c r="V4" s="1">
        <v>2035</v>
      </c>
      <c r="W4" s="1">
        <v>2036</v>
      </c>
      <c r="X4" s="1">
        <v>2037</v>
      </c>
      <c r="Y4" s="1">
        <v>2038</v>
      </c>
      <c r="Z4" s="1">
        <v>2039</v>
      </c>
      <c r="AA4" s="1">
        <v>2040</v>
      </c>
    </row>
    <row r="5" spans="1:27" x14ac:dyDescent="0.35">
      <c r="A5" s="14" t="str">
        <f>'Population Definitions'!$A$12</f>
        <v>pt_hm</v>
      </c>
      <c r="B5" s="15" t="s">
        <v>32</v>
      </c>
      <c r="C5" s="15" t="s">
        <v>36</v>
      </c>
      <c r="D5" s="16"/>
      <c r="E5" s="15">
        <v>0.92</v>
      </c>
      <c r="F5" s="17" t="s">
        <v>34</v>
      </c>
    </row>
    <row r="7" spans="1:27" x14ac:dyDescent="0.35">
      <c r="A7" s="14" t="s">
        <v>293</v>
      </c>
      <c r="B7" s="14" t="s">
        <v>28</v>
      </c>
      <c r="C7" s="14" t="s">
        <v>29</v>
      </c>
      <c r="D7" s="14" t="s">
        <v>30</v>
      </c>
      <c r="E7" s="14" t="s">
        <v>31</v>
      </c>
      <c r="G7" s="14">
        <v>2020</v>
      </c>
      <c r="H7" s="14">
        <v>2021</v>
      </c>
      <c r="I7" s="14">
        <v>2022</v>
      </c>
      <c r="J7" s="14">
        <v>2023</v>
      </c>
      <c r="K7" s="14">
        <v>2024</v>
      </c>
      <c r="L7" s="14">
        <v>2025</v>
      </c>
      <c r="M7" s="1">
        <v>2026</v>
      </c>
      <c r="N7" s="1">
        <v>2027</v>
      </c>
      <c r="O7" s="1">
        <v>2028</v>
      </c>
      <c r="P7" s="1">
        <v>2029</v>
      </c>
      <c r="Q7" s="1">
        <v>2030</v>
      </c>
      <c r="R7" s="1">
        <v>2031</v>
      </c>
      <c r="S7" s="1">
        <v>2032</v>
      </c>
      <c r="T7" s="1">
        <v>2033</v>
      </c>
      <c r="U7" s="1">
        <v>2034</v>
      </c>
      <c r="V7" s="1">
        <v>2035</v>
      </c>
      <c r="W7" s="1">
        <v>2036</v>
      </c>
      <c r="X7" s="1">
        <v>2037</v>
      </c>
      <c r="Y7" s="1">
        <v>2038</v>
      </c>
      <c r="Z7" s="1">
        <v>2039</v>
      </c>
      <c r="AA7" s="1">
        <v>2040</v>
      </c>
    </row>
    <row r="8" spans="1:27" x14ac:dyDescent="0.35">
      <c r="A8" s="14" t="str">
        <f>'Population Definitions'!$A$12</f>
        <v>pt_hm</v>
      </c>
      <c r="B8" s="15" t="s">
        <v>32</v>
      </c>
      <c r="C8" s="15" t="s">
        <v>36</v>
      </c>
      <c r="D8" s="16"/>
      <c r="E8" s="15">
        <v>0.92</v>
      </c>
      <c r="F8" s="17" t="s">
        <v>34</v>
      </c>
    </row>
    <row r="10" spans="1:27" x14ac:dyDescent="0.35">
      <c r="A10" s="14" t="s">
        <v>92</v>
      </c>
      <c r="B10" s="14" t="s">
        <v>28</v>
      </c>
      <c r="C10" s="14" t="s">
        <v>29</v>
      </c>
      <c r="D10" s="14" t="s">
        <v>30</v>
      </c>
      <c r="E10" s="14" t="s">
        <v>31</v>
      </c>
      <c r="F10" s="14"/>
      <c r="G10" s="14">
        <v>2020</v>
      </c>
      <c r="H10" s="14">
        <v>2021</v>
      </c>
      <c r="I10" s="14">
        <v>2022</v>
      </c>
      <c r="J10" s="14">
        <v>2023</v>
      </c>
      <c r="K10" s="14">
        <v>2024</v>
      </c>
      <c r="L10" s="14">
        <v>2025</v>
      </c>
    </row>
    <row r="11" spans="1:27" x14ac:dyDescent="0.35">
      <c r="A11" s="14" t="str">
        <f>'Population Definitions'!$A$12</f>
        <v>pt_hm</v>
      </c>
      <c r="B11" s="15" t="s">
        <v>32</v>
      </c>
      <c r="C11" s="15" t="s">
        <v>36</v>
      </c>
      <c r="D11" s="16"/>
      <c r="E11" s="15">
        <v>0.46031746031746029</v>
      </c>
      <c r="F11" s="17" t="s">
        <v>34</v>
      </c>
      <c r="G11" s="30"/>
      <c r="H11" s="16"/>
      <c r="I11" s="16"/>
      <c r="J11" s="16"/>
      <c r="K11" s="16"/>
      <c r="L11" s="16"/>
    </row>
    <row r="13" spans="1:27" x14ac:dyDescent="0.35">
      <c r="A13" s="14" t="s">
        <v>93</v>
      </c>
      <c r="B13" s="14" t="s">
        <v>28</v>
      </c>
      <c r="C13" s="14" t="s">
        <v>29</v>
      </c>
      <c r="D13" s="14" t="s">
        <v>30</v>
      </c>
      <c r="E13" s="14" t="s">
        <v>31</v>
      </c>
      <c r="F13" s="14"/>
      <c r="G13" s="14">
        <v>2020</v>
      </c>
      <c r="H13" s="14">
        <v>2021</v>
      </c>
      <c r="I13" s="14">
        <v>2022</v>
      </c>
      <c r="J13" s="14">
        <v>2023</v>
      </c>
      <c r="K13" s="14">
        <v>2024</v>
      </c>
      <c r="L13" s="14">
        <v>2025</v>
      </c>
    </row>
    <row r="14" spans="1:27" x14ac:dyDescent="0.35">
      <c r="A14" s="14" t="str">
        <f>'Population Definitions'!$A$12</f>
        <v>pt_hm</v>
      </c>
      <c r="B14" s="15" t="s">
        <v>32</v>
      </c>
      <c r="C14" s="15" t="s">
        <v>36</v>
      </c>
      <c r="D14" s="16"/>
      <c r="E14" s="30">
        <v>0.17777777777777778</v>
      </c>
      <c r="F14" s="17" t="s">
        <v>34</v>
      </c>
      <c r="G14" s="30"/>
      <c r="H14" s="16"/>
      <c r="I14" s="16"/>
      <c r="J14" s="16"/>
      <c r="K14" s="16"/>
      <c r="L14" s="16"/>
    </row>
    <row r="16" spans="1:27" x14ac:dyDescent="0.35">
      <c r="A16" s="14" t="s">
        <v>94</v>
      </c>
      <c r="B16" s="14" t="s">
        <v>28</v>
      </c>
      <c r="C16" s="14" t="s">
        <v>29</v>
      </c>
      <c r="D16" s="14" t="s">
        <v>30</v>
      </c>
      <c r="E16" s="14" t="s">
        <v>31</v>
      </c>
      <c r="F16" s="14"/>
      <c r="G16" s="14">
        <v>2020</v>
      </c>
      <c r="H16" s="14">
        <v>2021</v>
      </c>
      <c r="I16" s="14">
        <v>2022</v>
      </c>
      <c r="J16" s="14">
        <v>2023</v>
      </c>
      <c r="K16" s="14">
        <v>2024</v>
      </c>
      <c r="L16" s="14">
        <v>2025</v>
      </c>
    </row>
    <row r="17" spans="1:12" x14ac:dyDescent="0.35">
      <c r="A17" s="14" t="str">
        <f>'Population Definitions'!$A$12</f>
        <v>pt_hm</v>
      </c>
      <c r="B17" s="15" t="s">
        <v>32</v>
      </c>
      <c r="C17" s="15" t="s">
        <v>36</v>
      </c>
      <c r="D17" s="16"/>
      <c r="E17" s="18">
        <v>0.13</v>
      </c>
      <c r="F17" s="17" t="s">
        <v>34</v>
      </c>
      <c r="G17" s="18"/>
      <c r="H17" s="16"/>
      <c r="I17" s="16"/>
      <c r="J17" s="16"/>
      <c r="K17" s="16"/>
      <c r="L17" s="16"/>
    </row>
    <row r="19" spans="1:12" x14ac:dyDescent="0.35">
      <c r="A19" s="14" t="s">
        <v>184</v>
      </c>
      <c r="B19" s="14" t="s">
        <v>28</v>
      </c>
      <c r="C19" s="14" t="s">
        <v>29</v>
      </c>
      <c r="D19" s="14" t="s">
        <v>30</v>
      </c>
      <c r="E19" s="14" t="s">
        <v>31</v>
      </c>
      <c r="F19" s="14"/>
      <c r="G19" s="14">
        <v>2020</v>
      </c>
      <c r="H19" s="14">
        <v>2021</v>
      </c>
      <c r="I19" s="14">
        <v>2022</v>
      </c>
      <c r="J19" s="14">
        <v>2023</v>
      </c>
      <c r="K19" s="14">
        <v>2024</v>
      </c>
      <c r="L19" s="14">
        <v>2025</v>
      </c>
    </row>
    <row r="20" spans="1:12" x14ac:dyDescent="0.35">
      <c r="A20" s="14" t="str">
        <f>'Population Definitions'!$A$12</f>
        <v>pt_hm</v>
      </c>
      <c r="B20" s="15" t="s">
        <v>32</v>
      </c>
      <c r="C20" s="15" t="s">
        <v>36</v>
      </c>
      <c r="D20" s="16"/>
      <c r="E20" s="16">
        <v>1.53</v>
      </c>
      <c r="F20" s="17" t="s">
        <v>34</v>
      </c>
      <c r="G20" s="16"/>
      <c r="H20" s="16"/>
      <c r="I20" s="16"/>
      <c r="J20" s="16"/>
      <c r="K20" s="16"/>
      <c r="L20" s="16"/>
    </row>
    <row r="22" spans="1:12" x14ac:dyDescent="0.35">
      <c r="A22" s="14" t="s">
        <v>95</v>
      </c>
      <c r="B22" s="14" t="s">
        <v>28</v>
      </c>
      <c r="C22" s="14" t="s">
        <v>29</v>
      </c>
      <c r="D22" s="14" t="s">
        <v>30</v>
      </c>
      <c r="E22" s="14" t="s">
        <v>31</v>
      </c>
      <c r="F22" s="14"/>
      <c r="G22" s="14">
        <v>2020</v>
      </c>
      <c r="H22" s="14">
        <v>2021</v>
      </c>
      <c r="I22" s="14">
        <v>2022</v>
      </c>
      <c r="J22" s="14">
        <v>2023</v>
      </c>
      <c r="K22" s="14">
        <v>2024</v>
      </c>
      <c r="L22" s="14">
        <v>2025</v>
      </c>
    </row>
    <row r="23" spans="1:12" x14ac:dyDescent="0.35">
      <c r="A23" s="14" t="str">
        <f>'Population Definitions'!$A$12</f>
        <v>pt_hm</v>
      </c>
      <c r="B23" s="15" t="s">
        <v>32</v>
      </c>
      <c r="C23" s="15" t="s">
        <v>36</v>
      </c>
      <c r="D23" s="16"/>
      <c r="E23" s="16">
        <v>2</v>
      </c>
      <c r="F23" s="17" t="s">
        <v>34</v>
      </c>
      <c r="G23" s="16"/>
      <c r="H23" s="16"/>
      <c r="I23" s="16"/>
      <c r="J23" s="16"/>
      <c r="K23" s="16"/>
      <c r="L23" s="16"/>
    </row>
    <row r="25" spans="1:12" x14ac:dyDescent="0.35">
      <c r="A25" s="14" t="s">
        <v>96</v>
      </c>
      <c r="B25" s="14" t="s">
        <v>28</v>
      </c>
      <c r="C25" s="14" t="s">
        <v>29</v>
      </c>
      <c r="D25" s="14" t="s">
        <v>30</v>
      </c>
      <c r="E25" s="14" t="s">
        <v>31</v>
      </c>
      <c r="F25" s="14"/>
      <c r="G25" s="14">
        <v>2020</v>
      </c>
      <c r="H25" s="14">
        <v>2021</v>
      </c>
      <c r="I25" s="14">
        <v>2022</v>
      </c>
      <c r="J25" s="14">
        <v>2023</v>
      </c>
      <c r="K25" s="14">
        <v>2024</v>
      </c>
      <c r="L25" s="14">
        <v>2025</v>
      </c>
    </row>
    <row r="26" spans="1:12" x14ac:dyDescent="0.35">
      <c r="A26" s="14" t="str">
        <f>'Population Definitions'!$A$12</f>
        <v>pt_hm</v>
      </c>
      <c r="B26" s="15" t="s">
        <v>32</v>
      </c>
      <c r="C26" s="15" t="s">
        <v>36</v>
      </c>
      <c r="D26" s="16"/>
      <c r="E26" s="16">
        <v>1.3</v>
      </c>
      <c r="F26" s="17" t="s">
        <v>34</v>
      </c>
      <c r="G26" s="16"/>
      <c r="H26" s="16"/>
      <c r="I26" s="16"/>
      <c r="J26" s="16"/>
      <c r="K26" s="16"/>
      <c r="L26" s="16"/>
    </row>
    <row r="28" spans="1:12" x14ac:dyDescent="0.35">
      <c r="A28" s="14" t="s">
        <v>305</v>
      </c>
      <c r="B28" s="14" t="s">
        <v>28</v>
      </c>
      <c r="C28" s="14" t="s">
        <v>29</v>
      </c>
      <c r="D28" s="14" t="s">
        <v>30</v>
      </c>
      <c r="E28" s="14" t="s">
        <v>31</v>
      </c>
      <c r="F28" s="14"/>
      <c r="G28" s="14">
        <v>2020</v>
      </c>
      <c r="H28" s="14">
        <v>2021</v>
      </c>
      <c r="I28" s="14">
        <v>2022</v>
      </c>
      <c r="J28" s="14">
        <v>2023</v>
      </c>
      <c r="K28" s="14">
        <v>2024</v>
      </c>
      <c r="L28" s="14">
        <v>2025</v>
      </c>
    </row>
    <row r="29" spans="1:12" x14ac:dyDescent="0.35">
      <c r="A29" s="14" t="str">
        <f>'Population Definitions'!$A$12</f>
        <v>pt_hm</v>
      </c>
      <c r="B29" s="15" t="s">
        <v>32</v>
      </c>
      <c r="C29" s="15" t="s">
        <v>36</v>
      </c>
      <c r="D29" s="16"/>
      <c r="E29" s="16">
        <v>6.57</v>
      </c>
      <c r="F29" s="17" t="s">
        <v>34</v>
      </c>
      <c r="G29" s="16"/>
      <c r="H29" s="16"/>
      <c r="I29" s="16"/>
      <c r="J29" s="16"/>
      <c r="K29" s="16"/>
      <c r="L29" s="16"/>
    </row>
    <row r="31" spans="1:12" x14ac:dyDescent="0.35">
      <c r="A31" s="14" t="s">
        <v>306</v>
      </c>
      <c r="B31" s="14" t="s">
        <v>28</v>
      </c>
      <c r="C31" s="14" t="s">
        <v>29</v>
      </c>
      <c r="D31" s="14" t="s">
        <v>30</v>
      </c>
      <c r="E31" s="14" t="s">
        <v>31</v>
      </c>
      <c r="F31" s="14"/>
      <c r="G31" s="14">
        <v>2020</v>
      </c>
      <c r="H31" s="14">
        <v>2021</v>
      </c>
      <c r="I31" s="14">
        <v>2022</v>
      </c>
      <c r="J31" s="14">
        <v>2023</v>
      </c>
      <c r="K31" s="14">
        <v>2024</v>
      </c>
      <c r="L31" s="14">
        <v>2025</v>
      </c>
    </row>
    <row r="32" spans="1:12" x14ac:dyDescent="0.35">
      <c r="A32" s="14" t="str">
        <f>'Population Definitions'!$A$12</f>
        <v>pt_hm</v>
      </c>
      <c r="B32" s="15" t="s">
        <v>32</v>
      </c>
      <c r="C32" s="15" t="s">
        <v>36</v>
      </c>
      <c r="D32" s="16"/>
      <c r="E32" s="16">
        <v>2.44</v>
      </c>
      <c r="F32" s="17" t="s">
        <v>34</v>
      </c>
      <c r="G32" s="16"/>
      <c r="H32" s="16"/>
      <c r="I32" s="16"/>
      <c r="J32" s="16"/>
      <c r="K32" s="16"/>
      <c r="L32" s="16"/>
    </row>
    <row r="34" spans="1:12" x14ac:dyDescent="0.35">
      <c r="A34" s="14" t="s">
        <v>307</v>
      </c>
      <c r="B34" s="14" t="s">
        <v>28</v>
      </c>
      <c r="C34" s="14" t="s">
        <v>29</v>
      </c>
      <c r="D34" s="14" t="s">
        <v>30</v>
      </c>
      <c r="E34" s="14" t="s">
        <v>31</v>
      </c>
      <c r="F34" s="14"/>
      <c r="G34" s="14">
        <v>2020</v>
      </c>
      <c r="H34" s="14">
        <v>2021</v>
      </c>
      <c r="I34" s="14">
        <v>2022</v>
      </c>
      <c r="J34" s="14">
        <v>2023</v>
      </c>
      <c r="K34" s="14">
        <v>2024</v>
      </c>
      <c r="L34" s="14">
        <v>2025</v>
      </c>
    </row>
    <row r="35" spans="1:12" x14ac:dyDescent="0.35">
      <c r="A35" s="14" t="str">
        <f>'[6]Population Definitions'!$A$12</f>
        <v>pt_hm</v>
      </c>
      <c r="B35" s="15" t="s">
        <v>32</v>
      </c>
      <c r="C35" s="15" t="s">
        <v>36</v>
      </c>
      <c r="D35" s="16"/>
      <c r="E35" s="16">
        <v>2.1</v>
      </c>
      <c r="F35" s="17" t="s">
        <v>34</v>
      </c>
      <c r="G35" s="16"/>
      <c r="H35" s="16"/>
      <c r="I35" s="16"/>
      <c r="J35" s="16"/>
      <c r="K35" s="16"/>
      <c r="L35" s="16"/>
    </row>
    <row r="37" spans="1:12" x14ac:dyDescent="0.35">
      <c r="A37" s="14" t="s">
        <v>308</v>
      </c>
      <c r="B37" s="14" t="s">
        <v>28</v>
      </c>
      <c r="C37" s="14" t="s">
        <v>29</v>
      </c>
      <c r="D37" s="14" t="s">
        <v>30</v>
      </c>
      <c r="E37" s="14" t="s">
        <v>31</v>
      </c>
      <c r="F37" s="14"/>
      <c r="G37" s="14">
        <v>2020</v>
      </c>
      <c r="H37" s="14">
        <v>2021</v>
      </c>
      <c r="I37" s="14">
        <v>2022</v>
      </c>
      <c r="J37" s="14">
        <v>2023</v>
      </c>
      <c r="K37" s="14">
        <v>2024</v>
      </c>
      <c r="L37" s="14">
        <v>2025</v>
      </c>
    </row>
    <row r="38" spans="1:12" x14ac:dyDescent="0.35">
      <c r="A38" s="14" t="str">
        <f>'[6]Population Definitions'!$A$12</f>
        <v>pt_hm</v>
      </c>
      <c r="B38" s="15" t="s">
        <v>32</v>
      </c>
      <c r="C38" s="15" t="s">
        <v>36</v>
      </c>
      <c r="D38" s="16"/>
      <c r="E38" s="16">
        <v>1.1000000000000001</v>
      </c>
      <c r="F38" s="17" t="s">
        <v>34</v>
      </c>
      <c r="G38" s="16"/>
      <c r="H38" s="16"/>
      <c r="I38" s="16"/>
      <c r="J38" s="16"/>
      <c r="K38" s="16"/>
      <c r="L38" s="16"/>
    </row>
    <row r="40" spans="1:12" s="10" customFormat="1" x14ac:dyDescent="0.35">
      <c r="A40" s="14" t="s">
        <v>97</v>
      </c>
      <c r="B40" s="14" t="s">
        <v>28</v>
      </c>
      <c r="C40" s="14" t="s">
        <v>29</v>
      </c>
      <c r="D40" s="14" t="s">
        <v>30</v>
      </c>
      <c r="E40" s="14" t="s">
        <v>31</v>
      </c>
      <c r="F40" s="14"/>
      <c r="G40" s="14">
        <v>2020</v>
      </c>
      <c r="H40" s="14">
        <v>2021</v>
      </c>
      <c r="I40" s="14">
        <v>2022</v>
      </c>
      <c r="J40" s="14">
        <v>2023</v>
      </c>
      <c r="K40" s="14">
        <v>2024</v>
      </c>
      <c r="L40" s="14">
        <v>2025</v>
      </c>
    </row>
    <row r="41" spans="1:12" x14ac:dyDescent="0.35">
      <c r="A41" s="14" t="str">
        <f>'Population Definitions'!$A$12</f>
        <v>pt_hm</v>
      </c>
      <c r="B41" s="15" t="s">
        <v>32</v>
      </c>
      <c r="C41" s="15" t="s">
        <v>36</v>
      </c>
      <c r="D41" s="16"/>
      <c r="E41" s="18">
        <v>0.107958979</v>
      </c>
      <c r="F41" s="17" t="s">
        <v>34</v>
      </c>
      <c r="G41" s="16"/>
      <c r="H41" s="16"/>
      <c r="I41" s="16"/>
      <c r="J41" s="16"/>
      <c r="K41" s="16"/>
      <c r="L41" s="16"/>
    </row>
    <row r="43" spans="1:12" x14ac:dyDescent="0.35">
      <c r="A43" s="14" t="s">
        <v>99</v>
      </c>
      <c r="B43" s="14" t="s">
        <v>28</v>
      </c>
      <c r="C43" s="14" t="s">
        <v>29</v>
      </c>
      <c r="D43" s="14" t="s">
        <v>30</v>
      </c>
      <c r="E43" s="14" t="s">
        <v>31</v>
      </c>
      <c r="F43" s="14"/>
      <c r="G43" s="14">
        <v>2020</v>
      </c>
      <c r="H43" s="14">
        <v>2021</v>
      </c>
      <c r="I43" s="14">
        <v>2022</v>
      </c>
      <c r="J43" s="14">
        <v>2023</v>
      </c>
      <c r="K43" s="14">
        <v>2024</v>
      </c>
      <c r="L43" s="14">
        <v>2025</v>
      </c>
    </row>
    <row r="44" spans="1:12" x14ac:dyDescent="0.35">
      <c r="A44" s="14" t="str">
        <f>'Population Definitions'!$A$12</f>
        <v>pt_hm</v>
      </c>
      <c r="B44" s="15" t="s">
        <v>32</v>
      </c>
      <c r="C44" s="15" t="s">
        <v>36</v>
      </c>
      <c r="D44" s="16"/>
      <c r="E44" s="15">
        <v>0.46031746031746029</v>
      </c>
      <c r="F44" s="17" t="s">
        <v>34</v>
      </c>
      <c r="G44" s="16"/>
      <c r="H44" s="16"/>
      <c r="I44" s="16"/>
      <c r="J44" s="16"/>
      <c r="K44" s="16"/>
      <c r="L44" s="16"/>
    </row>
    <row r="46" spans="1:12" x14ac:dyDescent="0.35">
      <c r="A46" s="14" t="s">
        <v>98</v>
      </c>
      <c r="B46" s="14" t="s">
        <v>28</v>
      </c>
      <c r="C46" s="14" t="s">
        <v>29</v>
      </c>
      <c r="D46" s="14" t="s">
        <v>30</v>
      </c>
      <c r="E46" s="14" t="s">
        <v>31</v>
      </c>
      <c r="F46" s="14"/>
      <c r="G46" s="14">
        <v>2020</v>
      </c>
      <c r="H46" s="14">
        <v>2021</v>
      </c>
      <c r="I46" s="14">
        <v>2022</v>
      </c>
      <c r="J46" s="14">
        <v>2023</v>
      </c>
      <c r="K46" s="14">
        <v>2024</v>
      </c>
      <c r="L46" s="14">
        <v>2025</v>
      </c>
    </row>
    <row r="47" spans="1:12" x14ac:dyDescent="0.35">
      <c r="A47" s="14" t="str">
        <f>'Population Definitions'!$A$12</f>
        <v>pt_hm</v>
      </c>
      <c r="B47" s="15" t="s">
        <v>32</v>
      </c>
      <c r="C47" s="15" t="s">
        <v>36</v>
      </c>
      <c r="D47" s="16"/>
      <c r="E47" s="30">
        <v>0.17777777777777778</v>
      </c>
      <c r="F47" s="17" t="s">
        <v>34</v>
      </c>
      <c r="G47" s="16"/>
      <c r="H47" s="16"/>
      <c r="I47" s="16"/>
      <c r="J47" s="16"/>
      <c r="K47" s="16"/>
      <c r="L47" s="16"/>
    </row>
    <row r="49" spans="1:12" x14ac:dyDescent="0.35">
      <c r="A49" s="14" t="s">
        <v>100</v>
      </c>
      <c r="B49" s="14" t="s">
        <v>28</v>
      </c>
      <c r="C49" s="14" t="s">
        <v>29</v>
      </c>
      <c r="D49" s="14" t="s">
        <v>30</v>
      </c>
      <c r="E49" s="14" t="s">
        <v>31</v>
      </c>
      <c r="F49" s="14"/>
      <c r="G49" s="14">
        <v>2020</v>
      </c>
      <c r="H49" s="14">
        <v>2021</v>
      </c>
      <c r="I49" s="14">
        <v>2022</v>
      </c>
      <c r="J49" s="14">
        <v>2023</v>
      </c>
      <c r="K49" s="14">
        <v>2024</v>
      </c>
      <c r="L49" s="14">
        <v>2025</v>
      </c>
    </row>
    <row r="50" spans="1:12" x14ac:dyDescent="0.35">
      <c r="A50" s="14" t="str">
        <f>'Population Definitions'!$A$12</f>
        <v>pt_hm</v>
      </c>
      <c r="B50" s="15" t="s">
        <v>32</v>
      </c>
      <c r="C50" s="15" t="s">
        <v>36</v>
      </c>
      <c r="D50" s="16"/>
      <c r="E50" s="16">
        <v>0.6</v>
      </c>
      <c r="F50" s="17" t="s">
        <v>34</v>
      </c>
      <c r="G50" s="16"/>
      <c r="H50" s="16"/>
      <c r="I50" s="16"/>
      <c r="J50" s="16"/>
      <c r="K50" s="16"/>
      <c r="L50" s="16"/>
    </row>
    <row r="52" spans="1:12" x14ac:dyDescent="0.35">
      <c r="A52" s="14" t="s">
        <v>101</v>
      </c>
      <c r="B52" s="14" t="s">
        <v>28</v>
      </c>
      <c r="C52" s="14" t="s">
        <v>29</v>
      </c>
      <c r="D52" s="14" t="s">
        <v>30</v>
      </c>
      <c r="E52" s="14" t="s">
        <v>31</v>
      </c>
      <c r="F52" s="14"/>
      <c r="G52" s="14">
        <v>2020</v>
      </c>
      <c r="H52" s="14">
        <v>2021</v>
      </c>
      <c r="I52" s="14">
        <v>2022</v>
      </c>
      <c r="J52" s="14">
        <v>2023</v>
      </c>
      <c r="K52" s="14">
        <v>2024</v>
      </c>
      <c r="L52" s="14">
        <v>2025</v>
      </c>
    </row>
    <row r="53" spans="1:12" x14ac:dyDescent="0.35">
      <c r="A53" s="14" t="str">
        <f>'Population Definitions'!$A$12</f>
        <v>pt_hm</v>
      </c>
      <c r="B53" s="15" t="s">
        <v>32</v>
      </c>
      <c r="C53" s="15" t="s">
        <v>36</v>
      </c>
      <c r="D53" s="16"/>
      <c r="E53" s="16">
        <v>0.5</v>
      </c>
      <c r="F53" s="17" t="s">
        <v>34</v>
      </c>
      <c r="G53" s="16"/>
      <c r="H53" s="16"/>
      <c r="I53" s="16"/>
      <c r="J53" s="16"/>
      <c r="K53" s="16"/>
      <c r="L53" s="16"/>
    </row>
    <row r="55" spans="1:12" x14ac:dyDescent="0.35">
      <c r="A55" s="14" t="s">
        <v>102</v>
      </c>
      <c r="B55" s="14" t="s">
        <v>28</v>
      </c>
      <c r="C55" s="14" t="s">
        <v>29</v>
      </c>
      <c r="D55" s="14" t="s">
        <v>30</v>
      </c>
      <c r="E55" s="14" t="s">
        <v>31</v>
      </c>
      <c r="F55" s="14"/>
      <c r="G55" s="14">
        <v>2020</v>
      </c>
      <c r="H55" s="14">
        <v>2021</v>
      </c>
      <c r="I55" s="14">
        <v>2022</v>
      </c>
      <c r="J55" s="14">
        <v>2023</v>
      </c>
      <c r="K55" s="14">
        <v>2024</v>
      </c>
      <c r="L55" s="14">
        <v>2025</v>
      </c>
    </row>
    <row r="56" spans="1:12" x14ac:dyDescent="0.35">
      <c r="A56" s="14" t="str">
        <f>'Population Definitions'!$A$12</f>
        <v>pt_hm</v>
      </c>
      <c r="B56" s="15" t="s">
        <v>32</v>
      </c>
      <c r="C56" s="15" t="s">
        <v>36</v>
      </c>
      <c r="D56" s="16"/>
      <c r="E56" s="16">
        <v>0.6</v>
      </c>
      <c r="F56" s="17" t="s">
        <v>34</v>
      </c>
      <c r="G56" s="16"/>
      <c r="H56" s="16"/>
      <c r="I56" s="16"/>
      <c r="J56" s="16"/>
      <c r="K56" s="16"/>
      <c r="L56" s="16"/>
    </row>
    <row r="58" spans="1:12" x14ac:dyDescent="0.35">
      <c r="A58" s="14" t="s">
        <v>103</v>
      </c>
      <c r="B58" s="14" t="s">
        <v>28</v>
      </c>
      <c r="C58" s="14" t="s">
        <v>29</v>
      </c>
      <c r="D58" s="14" t="s">
        <v>30</v>
      </c>
      <c r="E58" s="14" t="s">
        <v>31</v>
      </c>
      <c r="F58" s="14"/>
      <c r="G58" s="14">
        <v>2020</v>
      </c>
      <c r="H58" s="14">
        <v>2021</v>
      </c>
      <c r="I58" s="14">
        <v>2022</v>
      </c>
      <c r="J58" s="14">
        <v>2023</v>
      </c>
      <c r="K58" s="14">
        <v>2024</v>
      </c>
      <c r="L58" s="14">
        <v>2025</v>
      </c>
    </row>
    <row r="59" spans="1:12" x14ac:dyDescent="0.35">
      <c r="A59" s="14" t="str">
        <f>'Population Definitions'!$A$12</f>
        <v>pt_hm</v>
      </c>
      <c r="B59" s="15" t="s">
        <v>32</v>
      </c>
      <c r="C59" s="15" t="s">
        <v>36</v>
      </c>
      <c r="D59" s="16"/>
      <c r="E59" s="16">
        <v>0.5</v>
      </c>
      <c r="F59" s="17" t="s">
        <v>34</v>
      </c>
      <c r="G59" s="16"/>
      <c r="H59" s="16"/>
      <c r="I59" s="16"/>
      <c r="J59" s="16"/>
      <c r="K59" s="16"/>
      <c r="L59" s="16"/>
    </row>
    <row r="61" spans="1:12" s="10" customFormat="1" x14ac:dyDescent="0.35">
      <c r="A61" s="14" t="s">
        <v>104</v>
      </c>
      <c r="B61" s="14" t="s">
        <v>28</v>
      </c>
      <c r="C61" s="14" t="s">
        <v>29</v>
      </c>
      <c r="D61" s="14" t="s">
        <v>30</v>
      </c>
      <c r="E61" s="14" t="s">
        <v>31</v>
      </c>
      <c r="F61" s="14"/>
      <c r="G61" s="14">
        <v>2020</v>
      </c>
      <c r="H61" s="14">
        <v>2021</v>
      </c>
      <c r="I61" s="14">
        <v>2022</v>
      </c>
      <c r="J61" s="14">
        <v>2023</v>
      </c>
      <c r="K61" s="14">
        <v>2024</v>
      </c>
      <c r="L61" s="14">
        <v>2025</v>
      </c>
    </row>
    <row r="62" spans="1:12" x14ac:dyDescent="0.35">
      <c r="A62" s="14" t="str">
        <f>'Population Definitions'!$A$12</f>
        <v>pt_hm</v>
      </c>
      <c r="B62" s="15" t="s">
        <v>32</v>
      </c>
      <c r="C62" s="15" t="s">
        <v>36</v>
      </c>
      <c r="D62" s="16"/>
      <c r="E62" s="31">
        <v>3.2816999999999999E-2</v>
      </c>
      <c r="F62" s="17" t="s">
        <v>34</v>
      </c>
      <c r="G62" s="18"/>
      <c r="H62" s="16"/>
      <c r="I62" s="16"/>
      <c r="J62" s="16"/>
      <c r="K62" s="16"/>
      <c r="L62" s="16"/>
    </row>
    <row r="64" spans="1:12" s="10" customFormat="1" x14ac:dyDescent="0.35">
      <c r="A64" s="14" t="s">
        <v>105</v>
      </c>
      <c r="B64" s="14" t="s">
        <v>28</v>
      </c>
      <c r="C64" s="14" t="s">
        <v>29</v>
      </c>
      <c r="D64" s="14" t="s">
        <v>30</v>
      </c>
      <c r="E64" s="14" t="s">
        <v>31</v>
      </c>
      <c r="F64" s="14"/>
      <c r="G64" s="14">
        <v>2020</v>
      </c>
      <c r="H64" s="14">
        <v>2021</v>
      </c>
      <c r="I64" s="14">
        <v>2022</v>
      </c>
      <c r="J64" s="14">
        <v>2023</v>
      </c>
      <c r="K64" s="14">
        <v>2024</v>
      </c>
      <c r="L64" s="14">
        <v>2025</v>
      </c>
    </row>
    <row r="65" spans="1:13" x14ac:dyDescent="0.35">
      <c r="A65" s="14" t="str">
        <f>'Population Definitions'!$A$12</f>
        <v>pt_hm</v>
      </c>
      <c r="B65" s="15" t="s">
        <v>32</v>
      </c>
      <c r="C65" s="15" t="s">
        <v>36</v>
      </c>
      <c r="D65" s="16"/>
      <c r="E65" s="18">
        <v>6.5633999999999998E-2</v>
      </c>
      <c r="F65" s="17" t="s">
        <v>34</v>
      </c>
      <c r="G65" s="18"/>
      <c r="H65" s="16"/>
      <c r="I65" s="16"/>
      <c r="J65" s="16"/>
      <c r="K65" s="16"/>
      <c r="L65" s="16"/>
    </row>
    <row r="67" spans="1:13" s="10" customFormat="1" x14ac:dyDescent="0.35">
      <c r="A67" s="14" t="s">
        <v>106</v>
      </c>
      <c r="B67" s="14" t="s">
        <v>28</v>
      </c>
      <c r="C67" s="14" t="s">
        <v>29</v>
      </c>
      <c r="D67" s="14" t="s">
        <v>30</v>
      </c>
      <c r="E67" s="14" t="s">
        <v>31</v>
      </c>
      <c r="F67" s="14"/>
      <c r="G67" s="14">
        <v>2020</v>
      </c>
      <c r="H67" s="14">
        <v>2021</v>
      </c>
      <c r="I67" s="14">
        <v>2022</v>
      </c>
      <c r="J67" s="14">
        <v>2023</v>
      </c>
      <c r="K67" s="14">
        <v>2024</v>
      </c>
      <c r="L67" s="14">
        <v>2025</v>
      </c>
    </row>
    <row r="68" spans="1:13" x14ac:dyDescent="0.35">
      <c r="A68" s="14" t="str">
        <f>'Population Definitions'!$A$12</f>
        <v>pt_hm</v>
      </c>
      <c r="B68" s="15" t="s">
        <v>32</v>
      </c>
      <c r="C68" s="15" t="s">
        <v>36</v>
      </c>
      <c r="D68" s="16"/>
      <c r="E68" s="31">
        <v>1.3409000000000001E-2</v>
      </c>
      <c r="F68" s="17" t="s">
        <v>34</v>
      </c>
      <c r="G68" s="16"/>
      <c r="H68" s="16"/>
      <c r="I68" s="16"/>
      <c r="J68" s="16"/>
      <c r="K68" s="16"/>
      <c r="L68" s="16"/>
    </row>
    <row r="70" spans="1:13" s="10" customFormat="1" x14ac:dyDescent="0.35">
      <c r="A70" s="14" t="s">
        <v>107</v>
      </c>
      <c r="B70" s="14" t="s">
        <v>28</v>
      </c>
      <c r="C70" s="14" t="s">
        <v>29</v>
      </c>
      <c r="D70" s="14" t="s">
        <v>30</v>
      </c>
      <c r="E70" s="14" t="s">
        <v>31</v>
      </c>
      <c r="F70" s="14"/>
      <c r="G70" s="14">
        <v>2020</v>
      </c>
      <c r="H70" s="14">
        <v>2021</v>
      </c>
      <c r="I70" s="14">
        <v>2022</v>
      </c>
      <c r="J70" s="14">
        <v>2023</v>
      </c>
      <c r="K70" s="14">
        <v>2024</v>
      </c>
      <c r="L70" s="14">
        <v>2025</v>
      </c>
    </row>
    <row r="71" spans="1:13" x14ac:dyDescent="0.35">
      <c r="A71" s="14" t="str">
        <f>'Population Definitions'!$A$12</f>
        <v>pt_hm</v>
      </c>
      <c r="B71" s="15" t="s">
        <v>32</v>
      </c>
      <c r="C71" s="15" t="s">
        <v>36</v>
      </c>
      <c r="D71" s="16"/>
      <c r="E71" s="18">
        <v>2.6818000000000002E-2</v>
      </c>
      <c r="F71" s="17" t="s">
        <v>34</v>
      </c>
      <c r="G71" s="16"/>
      <c r="H71" s="16"/>
      <c r="I71" s="16"/>
      <c r="J71" s="16"/>
      <c r="K71" s="16"/>
      <c r="L71" s="16"/>
    </row>
    <row r="73" spans="1:13" s="10" customFormat="1" x14ac:dyDescent="0.35">
      <c r="A73" s="14" t="s">
        <v>108</v>
      </c>
      <c r="B73" s="14" t="s">
        <v>28</v>
      </c>
      <c r="C73" s="14" t="s">
        <v>29</v>
      </c>
      <c r="D73" s="14" t="s">
        <v>30</v>
      </c>
      <c r="E73" s="14" t="s">
        <v>31</v>
      </c>
      <c r="F73" s="14"/>
      <c r="G73" s="14">
        <v>2020</v>
      </c>
      <c r="H73" s="14">
        <v>2021</v>
      </c>
      <c r="I73" s="14">
        <v>2022</v>
      </c>
      <c r="J73" s="14">
        <v>2023</v>
      </c>
      <c r="K73" s="14">
        <v>2024</v>
      </c>
      <c r="L73" s="14">
        <v>2025</v>
      </c>
    </row>
    <row r="74" spans="1:13" x14ac:dyDescent="0.35">
      <c r="A74" s="14" t="str">
        <f>'Population Definitions'!$A$12</f>
        <v>pt_hm</v>
      </c>
      <c r="B74" s="15" t="s">
        <v>32</v>
      </c>
      <c r="C74" s="15" t="s">
        <v>36</v>
      </c>
      <c r="D74" s="16"/>
      <c r="E74" s="31">
        <v>3.0035000000000001E-3</v>
      </c>
      <c r="F74" s="17" t="s">
        <v>34</v>
      </c>
      <c r="G74" s="16"/>
      <c r="H74" s="16"/>
      <c r="I74" s="16"/>
      <c r="J74" s="16"/>
      <c r="K74" s="16"/>
      <c r="L74" s="16"/>
    </row>
    <row r="76" spans="1:13" x14ac:dyDescent="0.35">
      <c r="A76" s="15" t="s">
        <v>290</v>
      </c>
      <c r="B76" s="14" t="s">
        <v>109</v>
      </c>
      <c r="C76" s="14" t="s">
        <v>28</v>
      </c>
      <c r="D76" s="14" t="s">
        <v>30</v>
      </c>
      <c r="E76" s="14" t="s">
        <v>30</v>
      </c>
      <c r="F76" s="14" t="s">
        <v>31</v>
      </c>
      <c r="G76" s="14"/>
      <c r="H76" s="14">
        <v>2020</v>
      </c>
      <c r="I76" s="14">
        <v>2021</v>
      </c>
      <c r="J76" s="14">
        <v>2022</v>
      </c>
      <c r="K76" s="14">
        <v>2023</v>
      </c>
      <c r="L76" s="14">
        <v>2024</v>
      </c>
      <c r="M76" s="1">
        <v>2025</v>
      </c>
    </row>
    <row r="77" spans="1:13" x14ac:dyDescent="0.35">
      <c r="A77" s="15" t="s">
        <v>290</v>
      </c>
      <c r="B77" s="14" t="str">
        <f>'Population Definitions'!$A$11</f>
        <v>nsep_hm</v>
      </c>
      <c r="C77" s="15" t="s">
        <v>32</v>
      </c>
      <c r="D77" s="16"/>
      <c r="E77" s="16"/>
      <c r="F77" s="32" t="e">
        <f>#REF!</f>
        <v>#REF!</v>
      </c>
      <c r="G77" s="17" t="s">
        <v>34</v>
      </c>
      <c r="H77" s="16"/>
      <c r="I77" s="16"/>
      <c r="J77" s="16"/>
      <c r="K77" s="16"/>
      <c r="L77" s="16"/>
      <c r="M77" s="3"/>
    </row>
    <row r="78" spans="1:13" x14ac:dyDescent="0.35">
      <c r="A78" s="15" t="s">
        <v>290</v>
      </c>
    </row>
    <row r="79" spans="1:13" s="10" customFormat="1" x14ac:dyDescent="0.35">
      <c r="A79" s="14" t="s">
        <v>110</v>
      </c>
      <c r="B79" s="14" t="s">
        <v>28</v>
      </c>
      <c r="C79" s="14" t="s">
        <v>29</v>
      </c>
      <c r="D79" s="14" t="s">
        <v>30</v>
      </c>
      <c r="E79" s="14" t="s">
        <v>31</v>
      </c>
      <c r="F79" s="14"/>
      <c r="G79" s="14">
        <v>2020</v>
      </c>
      <c r="H79" s="14">
        <v>2021</v>
      </c>
      <c r="I79" s="14">
        <v>2022</v>
      </c>
      <c r="J79" s="14">
        <v>2023</v>
      </c>
      <c r="K79" s="14">
        <v>2024</v>
      </c>
      <c r="L79" s="14">
        <v>2025</v>
      </c>
    </row>
    <row r="80" spans="1:13" x14ac:dyDescent="0.35">
      <c r="A80" s="14" t="str">
        <f>'Population Definitions'!$A$12</f>
        <v>pt_hm</v>
      </c>
      <c r="B80" s="15" t="s">
        <v>32</v>
      </c>
      <c r="C80" s="15" t="s">
        <v>36</v>
      </c>
      <c r="D80" s="16"/>
      <c r="E80" s="33">
        <v>6.0070000000000002E-3</v>
      </c>
      <c r="F80" s="17" t="s">
        <v>34</v>
      </c>
      <c r="G80" s="16"/>
      <c r="H80" s="16"/>
      <c r="I80" s="16"/>
      <c r="J80" s="16"/>
      <c r="K80" s="16"/>
      <c r="L80" s="16"/>
    </row>
    <row r="82" spans="1:13" x14ac:dyDescent="0.35">
      <c r="A82" s="15" t="s">
        <v>290</v>
      </c>
      <c r="B82" s="14" t="s">
        <v>111</v>
      </c>
      <c r="C82" s="14" t="s">
        <v>28</v>
      </c>
      <c r="D82" s="14" t="s">
        <v>30</v>
      </c>
      <c r="E82" s="14" t="s">
        <v>30</v>
      </c>
      <c r="F82" s="14" t="s">
        <v>31</v>
      </c>
      <c r="G82" s="14"/>
      <c r="H82" s="14">
        <v>2020</v>
      </c>
      <c r="I82" s="14">
        <v>2021</v>
      </c>
      <c r="J82" s="14">
        <v>2022</v>
      </c>
      <c r="K82" s="14">
        <v>2023</v>
      </c>
      <c r="L82" s="14">
        <v>2024</v>
      </c>
      <c r="M82" s="1">
        <v>2025</v>
      </c>
    </row>
    <row r="83" spans="1:13" x14ac:dyDescent="0.35">
      <c r="A83" s="15" t="s">
        <v>290</v>
      </c>
      <c r="B83" s="14" t="str">
        <f>'Population Definitions'!$A$11</f>
        <v>nsep_hm</v>
      </c>
      <c r="C83" s="15" t="s">
        <v>32</v>
      </c>
      <c r="D83" s="16"/>
      <c r="E83" s="16"/>
      <c r="F83" s="32" t="e">
        <f>#REF!</f>
        <v>#REF!</v>
      </c>
      <c r="G83" s="17" t="s">
        <v>34</v>
      </c>
      <c r="H83" s="16"/>
      <c r="I83" s="16"/>
      <c r="J83" s="16"/>
      <c r="K83" s="16"/>
      <c r="L83" s="16"/>
      <c r="M83" s="3"/>
    </row>
    <row r="84" spans="1:13" x14ac:dyDescent="0.35">
      <c r="A84" s="15" t="s">
        <v>290</v>
      </c>
    </row>
    <row r="85" spans="1:13" x14ac:dyDescent="0.35">
      <c r="A85" s="14" t="s">
        <v>204</v>
      </c>
      <c r="B85" s="14" t="s">
        <v>28</v>
      </c>
      <c r="C85" s="14" t="s">
        <v>29</v>
      </c>
      <c r="D85" s="14" t="s">
        <v>30</v>
      </c>
      <c r="E85" s="14" t="s">
        <v>31</v>
      </c>
      <c r="F85" s="14"/>
      <c r="G85" s="14">
        <v>2020</v>
      </c>
      <c r="H85" s="14">
        <v>2021</v>
      </c>
      <c r="I85" s="14">
        <v>2022</v>
      </c>
      <c r="J85" s="14">
        <v>2023</v>
      </c>
      <c r="K85" s="14">
        <v>2024</v>
      </c>
      <c r="L85" s="14">
        <v>2025</v>
      </c>
    </row>
    <row r="86" spans="1:13" x14ac:dyDescent="0.35">
      <c r="A86" s="14" t="str">
        <f>'Population Definitions'!$A$12</f>
        <v>pt_hm</v>
      </c>
      <c r="C86" s="15" t="s">
        <v>64</v>
      </c>
      <c r="D86" s="16"/>
      <c r="E86" s="20">
        <v>4684608</v>
      </c>
      <c r="F86" s="17" t="s">
        <v>34</v>
      </c>
      <c r="G86" s="23"/>
      <c r="H86" s="23"/>
      <c r="I86" s="23"/>
      <c r="J86" s="23"/>
      <c r="K86" s="23"/>
      <c r="L86" s="23"/>
    </row>
    <row r="88" spans="1:13" x14ac:dyDescent="0.35">
      <c r="A88" s="14" t="s">
        <v>205</v>
      </c>
      <c r="B88" s="14" t="s">
        <v>28</v>
      </c>
      <c r="C88" s="14" t="s">
        <v>29</v>
      </c>
      <c r="D88" s="14" t="s">
        <v>30</v>
      </c>
      <c r="E88" s="14" t="s">
        <v>31</v>
      </c>
      <c r="F88" s="14"/>
      <c r="G88" s="14">
        <v>2020</v>
      </c>
      <c r="H88" s="14">
        <v>2021</v>
      </c>
      <c r="I88" s="14">
        <v>2022</v>
      </c>
      <c r="J88" s="14">
        <v>2023</v>
      </c>
      <c r="K88" s="14">
        <v>2024</v>
      </c>
      <c r="L88" s="14">
        <v>2025</v>
      </c>
    </row>
    <row r="89" spans="1:13" x14ac:dyDescent="0.35">
      <c r="A89" s="14" t="str">
        <f>'Population Definitions'!$A$12</f>
        <v>pt_hm</v>
      </c>
      <c r="C89" s="15" t="s">
        <v>64</v>
      </c>
      <c r="D89" s="16"/>
      <c r="E89" s="15">
        <v>233422.49</v>
      </c>
      <c r="F89" s="17" t="s">
        <v>34</v>
      </c>
      <c r="G89" s="23"/>
      <c r="H89" s="23"/>
      <c r="I89" s="23"/>
      <c r="J89" s="23"/>
      <c r="K89" s="23"/>
      <c r="L89" s="23"/>
    </row>
    <row r="91" spans="1:13" x14ac:dyDescent="0.35">
      <c r="A91" s="14" t="s">
        <v>225</v>
      </c>
      <c r="B91" s="14" t="s">
        <v>28</v>
      </c>
      <c r="C91" s="14" t="s">
        <v>29</v>
      </c>
      <c r="D91" s="14" t="s">
        <v>30</v>
      </c>
      <c r="E91" s="14" t="s">
        <v>31</v>
      </c>
      <c r="F91" s="14"/>
      <c r="G91" s="14">
        <v>2020</v>
      </c>
      <c r="H91" s="14">
        <v>2021</v>
      </c>
      <c r="I91" s="14">
        <v>2022</v>
      </c>
      <c r="J91" s="14">
        <v>2023</v>
      </c>
      <c r="K91" s="14">
        <v>2024</v>
      </c>
      <c r="L91" s="14">
        <v>2025</v>
      </c>
    </row>
    <row r="92" spans="1:13" x14ac:dyDescent="0.35">
      <c r="A92" s="14" t="str">
        <f>'Population Definitions'!$A$12</f>
        <v>pt_hm</v>
      </c>
      <c r="B92" s="15" t="s">
        <v>32</v>
      </c>
      <c r="C92" s="15" t="s">
        <v>64</v>
      </c>
      <c r="D92" s="16"/>
      <c r="E92" s="19">
        <v>0.47725000000000001</v>
      </c>
      <c r="F92" s="17" t="s">
        <v>34</v>
      </c>
      <c r="G92" s="16"/>
      <c r="H92" s="16"/>
      <c r="I92" s="16"/>
      <c r="J92" s="16"/>
      <c r="K92" s="16"/>
      <c r="L92" s="16"/>
    </row>
    <row r="94" spans="1:13" x14ac:dyDescent="0.35">
      <c r="A94" s="14" t="s">
        <v>226</v>
      </c>
      <c r="B94" s="14" t="s">
        <v>28</v>
      </c>
      <c r="C94" s="14" t="s">
        <v>29</v>
      </c>
      <c r="D94" s="14" t="s">
        <v>30</v>
      </c>
      <c r="E94" s="14" t="s">
        <v>31</v>
      </c>
      <c r="F94" s="14"/>
      <c r="G94" s="14">
        <v>2020</v>
      </c>
      <c r="H94" s="14">
        <v>2021</v>
      </c>
      <c r="I94" s="14">
        <v>2022</v>
      </c>
      <c r="J94" s="14">
        <v>2023</v>
      </c>
      <c r="K94" s="14">
        <v>2024</v>
      </c>
      <c r="L94" s="14">
        <v>2025</v>
      </c>
    </row>
    <row r="95" spans="1:13" x14ac:dyDescent="0.35">
      <c r="A95" s="14" t="str">
        <f>'Population Definitions'!$A$12</f>
        <v>pt_hm</v>
      </c>
      <c r="B95" s="15" t="s">
        <v>32</v>
      </c>
      <c r="C95" s="15" t="s">
        <v>64</v>
      </c>
      <c r="D95" s="16"/>
      <c r="E95" s="19">
        <v>0.47725000000000001</v>
      </c>
      <c r="F95" s="17" t="s">
        <v>34</v>
      </c>
      <c r="G95" s="16"/>
      <c r="H95" s="16"/>
      <c r="I95" s="16"/>
      <c r="J95" s="16"/>
      <c r="K95" s="16"/>
      <c r="L95" s="16"/>
    </row>
    <row r="97" spans="1:12" x14ac:dyDescent="0.35">
      <c r="A97" s="14" t="s">
        <v>227</v>
      </c>
      <c r="B97" s="14" t="s">
        <v>28</v>
      </c>
      <c r="C97" s="14" t="s">
        <v>29</v>
      </c>
      <c r="D97" s="14" t="s">
        <v>30</v>
      </c>
      <c r="E97" s="14" t="s">
        <v>31</v>
      </c>
      <c r="F97" s="14"/>
      <c r="G97" s="14">
        <v>2020</v>
      </c>
      <c r="H97" s="14">
        <v>2021</v>
      </c>
      <c r="I97" s="14">
        <v>2022</v>
      </c>
      <c r="J97" s="14">
        <v>2023</v>
      </c>
      <c r="K97" s="14">
        <v>2024</v>
      </c>
      <c r="L97" s="14">
        <v>2025</v>
      </c>
    </row>
    <row r="98" spans="1:12" x14ac:dyDescent="0.35">
      <c r="A98" s="14" t="str">
        <f>'Population Definitions'!$A$12</f>
        <v>pt_hm</v>
      </c>
      <c r="B98" s="15" t="s">
        <v>32</v>
      </c>
      <c r="C98" s="15" t="s">
        <v>64</v>
      </c>
      <c r="D98" s="16"/>
      <c r="E98" s="19">
        <v>0.47725000000000001</v>
      </c>
      <c r="F98" s="17" t="s">
        <v>34</v>
      </c>
      <c r="G98" s="16"/>
      <c r="H98" s="16"/>
      <c r="I98" s="16"/>
      <c r="J98" s="16"/>
      <c r="K98" s="16"/>
      <c r="L98" s="16"/>
    </row>
    <row r="100" spans="1:12" x14ac:dyDescent="0.35">
      <c r="A100" s="14" t="s">
        <v>359</v>
      </c>
      <c r="B100" s="14" t="s">
        <v>28</v>
      </c>
      <c r="C100" s="14" t="s">
        <v>29</v>
      </c>
      <c r="D100" s="14" t="s">
        <v>30</v>
      </c>
      <c r="E100" s="14" t="s">
        <v>31</v>
      </c>
      <c r="F100" s="14"/>
      <c r="G100" s="14">
        <v>2020</v>
      </c>
      <c r="H100" s="14">
        <v>2021</v>
      </c>
      <c r="I100" s="14">
        <v>2022</v>
      </c>
      <c r="J100" s="14">
        <v>2023</v>
      </c>
      <c r="K100" s="14">
        <v>2024</v>
      </c>
      <c r="L100" s="14">
        <v>2025</v>
      </c>
    </row>
    <row r="101" spans="1:12" x14ac:dyDescent="0.35">
      <c r="A101" s="14" t="s">
        <v>19</v>
      </c>
      <c r="B101" s="15" t="s">
        <v>32</v>
      </c>
      <c r="C101" s="15" t="s">
        <v>36</v>
      </c>
      <c r="D101" s="16"/>
      <c r="E101" s="16">
        <v>0</v>
      </c>
      <c r="F101" s="17" t="s">
        <v>34</v>
      </c>
      <c r="G101" s="16"/>
      <c r="H101" s="16"/>
      <c r="I101" s="16"/>
      <c r="J101" s="16"/>
      <c r="K101" s="16"/>
      <c r="L101" s="16"/>
    </row>
    <row r="103" spans="1:12" x14ac:dyDescent="0.35">
      <c r="A103" s="14" t="s">
        <v>360</v>
      </c>
      <c r="B103" s="14" t="s">
        <v>28</v>
      </c>
      <c r="C103" s="14" t="s">
        <v>29</v>
      </c>
      <c r="D103" s="14" t="s">
        <v>30</v>
      </c>
      <c r="E103" s="14" t="s">
        <v>31</v>
      </c>
      <c r="F103" s="14"/>
      <c r="G103" s="14">
        <v>2020</v>
      </c>
      <c r="H103" s="14">
        <v>2021</v>
      </c>
      <c r="I103" s="14">
        <v>2022</v>
      </c>
      <c r="J103" s="14">
        <v>2023</v>
      </c>
      <c r="K103" s="14">
        <v>2024</v>
      </c>
      <c r="L103" s="14">
        <v>2025</v>
      </c>
    </row>
    <row r="104" spans="1:12" x14ac:dyDescent="0.35">
      <c r="A104" s="14" t="s">
        <v>19</v>
      </c>
      <c r="B104" s="15" t="s">
        <v>32</v>
      </c>
      <c r="C104" s="15" t="s">
        <v>36</v>
      </c>
      <c r="D104" s="16"/>
      <c r="E104" s="16">
        <v>0</v>
      </c>
      <c r="F104" s="17" t="s">
        <v>34</v>
      </c>
      <c r="G104" s="16"/>
      <c r="H104" s="16"/>
      <c r="I104" s="16"/>
      <c r="J104" s="16"/>
      <c r="K104" s="16"/>
      <c r="L104" s="16"/>
    </row>
    <row r="106" spans="1:12" x14ac:dyDescent="0.35">
      <c r="D106" s="14"/>
    </row>
    <row r="107" spans="1:12" x14ac:dyDescent="0.35">
      <c r="D107" s="16"/>
    </row>
    <row r="109" spans="1:12" x14ac:dyDescent="0.35">
      <c r="D109" s="14"/>
    </row>
    <row r="110" spans="1:12" x14ac:dyDescent="0.35">
      <c r="D110" s="16"/>
    </row>
    <row r="112" spans="1:12" x14ac:dyDescent="0.35">
      <c r="D112" s="14"/>
    </row>
    <row r="113" spans="4:4" x14ac:dyDescent="0.35">
      <c r="D113" s="16"/>
    </row>
    <row r="115" spans="4:4" x14ac:dyDescent="0.35">
      <c r="D115" s="14"/>
    </row>
    <row r="116" spans="4:4" x14ac:dyDescent="0.35">
      <c r="D116" s="16"/>
    </row>
  </sheetData>
  <conditionalFormatting sqref="E2">
    <cfRule type="expression" dxfId="619" priority="17">
      <formula>COUNTIF(G2:L2,"&lt;&gt;" &amp; "")&gt;0</formula>
    </cfRule>
    <cfRule type="expression" dxfId="618" priority="18">
      <formula>AND(COUNTIF(G2:L2,"&lt;&gt;" &amp; "")&gt;0,NOT(ISBLANK(E2)))</formula>
    </cfRule>
  </conditionalFormatting>
  <conditionalFormatting sqref="E11">
    <cfRule type="expression" dxfId="617" priority="124">
      <formula>AND(COUNTIF(G11:L11,"&lt;&gt;" &amp; "")&gt;0,NOT(ISBLANK(E11)))</formula>
    </cfRule>
    <cfRule type="expression" dxfId="616" priority="123">
      <formula>COUNTIF(G11:L11,"&lt;&gt;" &amp; "")&gt;0</formula>
    </cfRule>
  </conditionalFormatting>
  <conditionalFormatting sqref="E20">
    <cfRule type="expression" dxfId="615" priority="3">
      <formula>COUNTIF(G20:L20,"&lt;&gt;" &amp; "")&gt;0</formula>
    </cfRule>
    <cfRule type="expression" dxfId="614" priority="4">
      <formula>AND(COUNTIF(G20:L20,"&lt;&gt;" &amp; "")&gt;0,NOT(ISBLANK(E20)))</formula>
    </cfRule>
  </conditionalFormatting>
  <conditionalFormatting sqref="E23">
    <cfRule type="expression" dxfId="613" priority="132">
      <formula>AND(COUNTIF(G23:L23,"&lt;&gt;" &amp; "")&gt;0,NOT(ISBLANK(E23)))</formula>
    </cfRule>
    <cfRule type="expression" dxfId="612" priority="131">
      <formula>COUNTIF(G23:L23,"&lt;&gt;" &amp; "")&gt;0</formula>
    </cfRule>
  </conditionalFormatting>
  <conditionalFormatting sqref="E26">
    <cfRule type="expression" dxfId="611" priority="134">
      <formula>AND(COUNTIF(G26:L26,"&lt;&gt;" &amp; "")&gt;0,NOT(ISBLANK(E26)))</formula>
    </cfRule>
    <cfRule type="expression" dxfId="610" priority="133">
      <formula>COUNTIF(G26:L26,"&lt;&gt;" &amp; "")&gt;0</formula>
    </cfRule>
  </conditionalFormatting>
  <conditionalFormatting sqref="E29">
    <cfRule type="expression" dxfId="609" priority="9">
      <formula>COUNTIF(G29:L29,"&lt;&gt;" &amp; "")&gt;0</formula>
    </cfRule>
    <cfRule type="expression" dxfId="608" priority="10">
      <formula>AND(COUNTIF(G29:L29,"&lt;&gt;" &amp; "")&gt;0,NOT(ISBLANK(E29)))</formula>
    </cfRule>
  </conditionalFormatting>
  <conditionalFormatting sqref="E32">
    <cfRule type="expression" dxfId="607" priority="11">
      <formula>COUNTIF(G32:L32,"&lt;&gt;" &amp; "")&gt;0</formula>
    </cfRule>
    <cfRule type="expression" dxfId="606" priority="12">
      <formula>AND(COUNTIF(G32:L32,"&lt;&gt;" &amp; "")&gt;0,NOT(ISBLANK(E32)))</formula>
    </cfRule>
  </conditionalFormatting>
  <conditionalFormatting sqref="E35">
    <cfRule type="expression" dxfId="605" priority="13">
      <formula>COUNTIF(G35:L35,"&lt;&gt;" &amp; "")&gt;0</formula>
    </cfRule>
    <cfRule type="expression" dxfId="604" priority="14">
      <formula>AND(COUNTIF(G35:L35,"&lt;&gt;" &amp; "")&gt;0,NOT(ISBLANK(E35)))</formula>
    </cfRule>
  </conditionalFormatting>
  <conditionalFormatting sqref="E38">
    <cfRule type="expression" dxfId="603" priority="15">
      <formula>COUNTIF(G38:L38,"&lt;&gt;" &amp; "")&gt;0</formula>
    </cfRule>
    <cfRule type="expression" dxfId="602" priority="16">
      <formula>AND(COUNTIF(G38:L38,"&lt;&gt;" &amp; "")&gt;0,NOT(ISBLANK(E38)))</formula>
    </cfRule>
  </conditionalFormatting>
  <conditionalFormatting sqref="E44">
    <cfRule type="expression" dxfId="601" priority="2">
      <formula>AND(COUNTIF(G44:L44,"&lt;&gt;" &amp; "")&gt;0,NOT(ISBLANK(E44)))</formula>
    </cfRule>
    <cfRule type="expression" dxfId="600" priority="1">
      <formula>COUNTIF(G44:L44,"&lt;&gt;" &amp; "")&gt;0</formula>
    </cfRule>
  </conditionalFormatting>
  <conditionalFormatting sqref="E50">
    <cfRule type="expression" dxfId="599" priority="141">
      <formula>COUNTIF(G50:L50,"&lt;&gt;" &amp; "")&gt;0</formula>
    </cfRule>
    <cfRule type="expression" dxfId="598" priority="142">
      <formula>AND(COUNTIF(G50:L50,"&lt;&gt;" &amp; "")&gt;0,NOT(ISBLANK(E50)))</formula>
    </cfRule>
  </conditionalFormatting>
  <conditionalFormatting sqref="E53">
    <cfRule type="expression" dxfId="597" priority="143">
      <formula>COUNTIF(G53:L53,"&lt;&gt;" &amp; "")&gt;0</formula>
    </cfRule>
    <cfRule type="expression" dxfId="596" priority="144">
      <formula>AND(COUNTIF(G53:L53,"&lt;&gt;" &amp; "")&gt;0,NOT(ISBLANK(E53)))</formula>
    </cfRule>
  </conditionalFormatting>
  <conditionalFormatting sqref="E56">
    <cfRule type="expression" dxfId="595" priority="145">
      <formula>COUNTIF(G56:L56,"&lt;&gt;" &amp; "")&gt;0</formula>
    </cfRule>
    <cfRule type="expression" dxfId="594" priority="146">
      <formula>AND(COUNTIF(G56:L56,"&lt;&gt;" &amp; "")&gt;0,NOT(ISBLANK(E56)))</formula>
    </cfRule>
  </conditionalFormatting>
  <conditionalFormatting sqref="E59">
    <cfRule type="expression" dxfId="593" priority="147">
      <formula>COUNTIF(G59:L59,"&lt;&gt;" &amp; "")&gt;0</formula>
    </cfRule>
    <cfRule type="expression" dxfId="592" priority="148">
      <formula>AND(COUNTIF(G59:L59,"&lt;&gt;" &amp; "")&gt;0,NOT(ISBLANK(E59)))</formula>
    </cfRule>
  </conditionalFormatting>
  <conditionalFormatting sqref="E86">
    <cfRule type="expression" dxfId="591" priority="115">
      <formula>COUNTIF(G86:L86,"&lt;&gt;" &amp; "")&gt;0</formula>
    </cfRule>
    <cfRule type="expression" dxfId="590" priority="116">
      <formula>AND(COUNTIF(G86:L86,"&lt;&gt;" &amp; "")&gt;0,NOT(ISBLANK(E86)))</formula>
    </cfRule>
  </conditionalFormatting>
  <conditionalFormatting sqref="E89">
    <cfRule type="expression" dxfId="589" priority="118">
      <formula>AND(COUNTIF(G89:L89,"&lt;&gt;" &amp; "")&gt;0,NOT(ISBLANK(E89)))</formula>
    </cfRule>
    <cfRule type="expression" dxfId="588" priority="117">
      <formula>COUNTIF(G89:L89,"&lt;&gt;" &amp; "")&gt;0</formula>
    </cfRule>
  </conditionalFormatting>
  <conditionalFormatting sqref="E101">
    <cfRule type="expression" dxfId="587" priority="6">
      <formula>AND(COUNTIF(G101:L101,"&lt;&gt;" &amp; "")&gt;0,NOT(ISBLANK(E101)))</formula>
    </cfRule>
    <cfRule type="expression" dxfId="586" priority="5">
      <formula>COUNTIF(G101:L101,"&lt;&gt;" &amp; "")&gt;0</formula>
    </cfRule>
  </conditionalFormatting>
  <conditionalFormatting sqref="E104">
    <cfRule type="expression" dxfId="585" priority="8">
      <formula>AND(COUNTIF(G104:L104,"&lt;&gt;" &amp; "")&gt;0,NOT(ISBLANK(E104)))</formula>
    </cfRule>
    <cfRule type="expression" dxfId="584" priority="7">
      <formula>COUNTIF(G104:L104,"&lt;&gt;" &amp; "")&gt;0</formula>
    </cfRule>
  </conditionalFormatting>
  <conditionalFormatting sqref="F77">
    <cfRule type="expression" dxfId="583" priority="69">
      <formula>COUNTIF(H77:M77,"&lt;&gt;" &amp; "")&gt;0</formula>
    </cfRule>
    <cfRule type="expression" dxfId="582" priority="70">
      <formula>AND(COUNTIF(H77:M77,"&lt;&gt;" &amp; "")&gt;0,NOT(ISBLANK(F77)))</formula>
    </cfRule>
  </conditionalFormatting>
  <conditionalFormatting sqref="F83">
    <cfRule type="expression" dxfId="581" priority="62">
      <formula>AND(COUNTIF(H83:M83,"&lt;&gt;" &amp; "")&gt;0,NOT(ISBLANK(F83)))</formula>
    </cfRule>
    <cfRule type="expression" dxfId="580" priority="61">
      <formula>COUNTIF(H83:M83,"&lt;&gt;" &amp; "")&gt;0</formula>
    </cfRule>
  </conditionalFormatting>
  <conditionalFormatting sqref="G2:I2 K2 M2 O2 Q2:AA2">
    <cfRule type="expression" dxfId="579" priority="56">
      <formula>AND(COUNTIF(I2:N2,"&lt;&gt;" &amp; "")&gt;0,NOT(ISBLANK(G2)))</formula>
    </cfRule>
    <cfRule type="expression" dxfId="578" priority="55">
      <formula>COUNTIF(I2:N2,"&lt;&gt;" &amp; "")&gt;0</formula>
    </cfRule>
  </conditionalFormatting>
  <dataValidations count="2">
    <dataValidation type="list" allowBlank="1" showInputMessage="1" showErrorMessage="1" sqref="C11 C17 C80 C14 C74 C20 C71 C2 C68 C5 C65 C8 C62 C59 C56 C53 C50 C44 C47 C41 C26 C23 C38 C35 C32 C29 C104 C101" xr:uid="{00000000-0002-0000-0A00-000000000000}">
      <formula1>"Proportion"</formula1>
    </dataValidation>
    <dataValidation type="list" allowBlank="1" showInputMessage="1" showErrorMessage="1" sqref="C92 C98 C95 C89 C86" xr:uid="{00000000-0002-0000-0A00-000019000000}">
      <formula1>"Number"</formula1>
    </dataValidation>
  </dataValidations>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L35"/>
  <sheetViews>
    <sheetView topLeftCell="A16" workbookViewId="0">
      <selection sqref="A1:L1048576"/>
    </sheetView>
  </sheetViews>
  <sheetFormatPr defaultRowHeight="14.5" x14ac:dyDescent="0.35"/>
  <cols>
    <col min="1" max="1" width="95.26953125" style="15" customWidth="1"/>
    <col min="2" max="2" width="30.26953125" style="15" customWidth="1"/>
    <col min="3" max="3" width="12.7265625" style="15" customWidth="1"/>
    <col min="4" max="4" width="13.81640625" style="15" customWidth="1"/>
    <col min="5" max="5" width="10.54296875" style="15" customWidth="1"/>
    <col min="6" max="6" width="3.81640625" style="15" customWidth="1"/>
    <col min="7" max="12" width="9.453125" style="15" customWidth="1"/>
  </cols>
  <sheetData>
    <row r="1" spans="1:12" x14ac:dyDescent="0.35">
      <c r="A1" s="14" t="s">
        <v>185</v>
      </c>
      <c r="B1" s="14" t="s">
        <v>28</v>
      </c>
      <c r="C1" s="14" t="s">
        <v>29</v>
      </c>
      <c r="D1" s="14" t="s">
        <v>30</v>
      </c>
      <c r="E1" s="14" t="s">
        <v>31</v>
      </c>
      <c r="F1" s="14"/>
      <c r="G1" s="14">
        <v>2020</v>
      </c>
      <c r="H1" s="14">
        <v>2021</v>
      </c>
      <c r="I1" s="14">
        <v>2022</v>
      </c>
      <c r="J1" s="14">
        <v>2023</v>
      </c>
      <c r="K1" s="14">
        <v>2024</v>
      </c>
      <c r="L1" s="14">
        <v>2025</v>
      </c>
    </row>
    <row r="2" spans="1:12" x14ac:dyDescent="0.35">
      <c r="A2" s="14" t="str">
        <f>'Population Definitions'!$A$13</f>
        <v>rds_hm</v>
      </c>
      <c r="B2" s="15" t="s">
        <v>32</v>
      </c>
      <c r="C2" s="15" t="s">
        <v>36</v>
      </c>
      <c r="D2" s="16"/>
      <c r="E2" s="16">
        <v>0.5</v>
      </c>
      <c r="F2" s="17" t="s">
        <v>34</v>
      </c>
      <c r="G2" s="16"/>
      <c r="H2" s="16"/>
      <c r="I2" s="16"/>
      <c r="J2" s="16"/>
      <c r="K2" s="16"/>
      <c r="L2" s="16"/>
    </row>
    <row r="4" spans="1:12" x14ac:dyDescent="0.35">
      <c r="A4" s="14" t="s">
        <v>112</v>
      </c>
      <c r="B4" s="14" t="s">
        <v>28</v>
      </c>
      <c r="C4" s="14" t="s">
        <v>29</v>
      </c>
      <c r="D4" s="14" t="s">
        <v>30</v>
      </c>
      <c r="E4" s="14" t="s">
        <v>31</v>
      </c>
      <c r="F4" s="14"/>
      <c r="G4" s="14">
        <v>2020</v>
      </c>
      <c r="H4" s="14">
        <v>2021</v>
      </c>
      <c r="I4" s="14">
        <v>2022</v>
      </c>
      <c r="J4" s="14">
        <v>2023</v>
      </c>
      <c r="K4" s="14">
        <v>2024</v>
      </c>
      <c r="L4" s="14">
        <v>2025</v>
      </c>
    </row>
    <row r="5" spans="1:12" x14ac:dyDescent="0.35">
      <c r="A5" s="14" t="str">
        <f>'Population Definitions'!$A$13</f>
        <v>rds_hm</v>
      </c>
      <c r="B5" s="15" t="s">
        <v>32</v>
      </c>
      <c r="C5" s="15" t="s">
        <v>36</v>
      </c>
      <c r="D5" s="16"/>
      <c r="E5" s="18">
        <v>0.34200000000000003</v>
      </c>
      <c r="F5" s="17" t="s">
        <v>34</v>
      </c>
      <c r="G5" s="18"/>
      <c r="H5" s="16"/>
      <c r="I5" s="16"/>
      <c r="J5" s="16"/>
      <c r="K5" s="16"/>
      <c r="L5" s="16"/>
    </row>
    <row r="7" spans="1:12" x14ac:dyDescent="0.35">
      <c r="A7" s="14" t="s">
        <v>113</v>
      </c>
      <c r="B7" s="14" t="s">
        <v>28</v>
      </c>
      <c r="C7" s="14" t="s">
        <v>29</v>
      </c>
      <c r="D7" s="14" t="s">
        <v>30</v>
      </c>
      <c r="E7" s="14" t="s">
        <v>31</v>
      </c>
      <c r="F7" s="14"/>
      <c r="G7" s="14">
        <v>2020</v>
      </c>
      <c r="H7" s="14">
        <v>2021</v>
      </c>
      <c r="I7" s="14">
        <v>2022</v>
      </c>
      <c r="J7" s="14">
        <v>2023</v>
      </c>
      <c r="K7" s="14">
        <v>2024</v>
      </c>
      <c r="L7" s="14">
        <v>2025</v>
      </c>
    </row>
    <row r="8" spans="1:12" x14ac:dyDescent="0.35">
      <c r="A8" s="14" t="str">
        <f>'Population Definitions'!$A$13</f>
        <v>rds_hm</v>
      </c>
      <c r="B8" s="15" t="s">
        <v>32</v>
      </c>
      <c r="C8" s="15" t="s">
        <v>36</v>
      </c>
      <c r="D8" s="16"/>
      <c r="E8" s="16">
        <v>0</v>
      </c>
      <c r="F8" s="17" t="s">
        <v>34</v>
      </c>
      <c r="G8" s="16"/>
      <c r="H8" s="16"/>
      <c r="I8" s="16"/>
      <c r="J8" s="16"/>
      <c r="K8" s="16"/>
      <c r="L8" s="16"/>
    </row>
    <row r="10" spans="1:12" s="10" customFormat="1" x14ac:dyDescent="0.35">
      <c r="A10" s="14" t="s">
        <v>114</v>
      </c>
      <c r="B10" s="14" t="s">
        <v>28</v>
      </c>
      <c r="C10" s="14" t="s">
        <v>29</v>
      </c>
      <c r="D10" s="14" t="s">
        <v>30</v>
      </c>
      <c r="E10" s="14" t="s">
        <v>31</v>
      </c>
      <c r="F10" s="14"/>
      <c r="G10" s="14">
        <v>2020</v>
      </c>
      <c r="H10" s="14">
        <v>2021</v>
      </c>
      <c r="I10" s="14">
        <v>2022</v>
      </c>
      <c r="J10" s="14">
        <v>2023</v>
      </c>
      <c r="K10" s="14">
        <v>2024</v>
      </c>
      <c r="L10" s="14">
        <v>2025</v>
      </c>
    </row>
    <row r="11" spans="1:12" x14ac:dyDescent="0.35">
      <c r="A11" s="14" t="str">
        <f>'Population Definitions'!$A$13</f>
        <v>rds_hm</v>
      </c>
      <c r="B11" s="15" t="s">
        <v>32</v>
      </c>
      <c r="C11" s="15" t="s">
        <v>36</v>
      </c>
      <c r="D11" s="16"/>
      <c r="E11" s="16">
        <f>E5</f>
        <v>0.34200000000000003</v>
      </c>
      <c r="F11" s="17" t="s">
        <v>34</v>
      </c>
      <c r="G11" s="16"/>
      <c r="H11" s="16"/>
      <c r="I11" s="16"/>
      <c r="J11" s="16"/>
      <c r="K11" s="16"/>
      <c r="L11" s="16"/>
    </row>
    <row r="13" spans="1:12" s="10" customFormat="1" x14ac:dyDescent="0.35">
      <c r="A13" s="14" t="s">
        <v>115</v>
      </c>
      <c r="B13" s="14" t="s">
        <v>28</v>
      </c>
      <c r="C13" s="14" t="s">
        <v>29</v>
      </c>
      <c r="D13" s="14" t="s">
        <v>30</v>
      </c>
      <c r="E13" s="14" t="s">
        <v>31</v>
      </c>
      <c r="F13" s="14"/>
      <c r="G13" s="14">
        <v>2020</v>
      </c>
      <c r="H13" s="14">
        <v>2021</v>
      </c>
      <c r="I13" s="14">
        <v>2022</v>
      </c>
      <c r="J13" s="14">
        <v>2023</v>
      </c>
      <c r="K13" s="14">
        <v>2024</v>
      </c>
      <c r="L13" s="14">
        <v>2025</v>
      </c>
    </row>
    <row r="14" spans="1:12" x14ac:dyDescent="0.35">
      <c r="A14" s="14" t="str">
        <f>'Population Definitions'!$A$13</f>
        <v>rds_hm</v>
      </c>
      <c r="B14" s="15" t="s">
        <v>32</v>
      </c>
      <c r="C14" s="15" t="s">
        <v>36</v>
      </c>
      <c r="D14" s="16"/>
      <c r="E14" s="16">
        <f>E5</f>
        <v>0.34200000000000003</v>
      </c>
      <c r="F14" s="17" t="s">
        <v>34</v>
      </c>
      <c r="G14" s="16"/>
      <c r="H14" s="16"/>
      <c r="I14" s="16"/>
      <c r="J14" s="16"/>
      <c r="K14" s="16"/>
      <c r="L14" s="16"/>
    </row>
    <row r="16" spans="1:12" x14ac:dyDescent="0.35">
      <c r="A16" s="14" t="s">
        <v>116</v>
      </c>
      <c r="B16" s="14" t="s">
        <v>28</v>
      </c>
      <c r="C16" s="14" t="s">
        <v>29</v>
      </c>
      <c r="D16" s="14" t="s">
        <v>30</v>
      </c>
      <c r="E16" s="14" t="s">
        <v>31</v>
      </c>
      <c r="F16" s="14"/>
      <c r="G16" s="14">
        <v>2020</v>
      </c>
      <c r="H16" s="14">
        <v>2021</v>
      </c>
      <c r="I16" s="14">
        <v>2022</v>
      </c>
      <c r="J16" s="14">
        <v>2023</v>
      </c>
      <c r="K16" s="14">
        <v>2024</v>
      </c>
      <c r="L16" s="14">
        <v>2025</v>
      </c>
    </row>
    <row r="17" spans="1:12" x14ac:dyDescent="0.35">
      <c r="A17" s="14" t="str">
        <f>'Population Definitions'!$A$13</f>
        <v>rds_hm</v>
      </c>
      <c r="B17" s="15" t="s">
        <v>32</v>
      </c>
      <c r="C17" s="15" t="s">
        <v>36</v>
      </c>
      <c r="D17" s="16"/>
      <c r="E17" s="34">
        <v>0.1</v>
      </c>
      <c r="F17" s="17" t="s">
        <v>34</v>
      </c>
      <c r="G17" s="16"/>
      <c r="H17" s="16"/>
      <c r="I17" s="16"/>
      <c r="J17" s="16"/>
      <c r="K17" s="16"/>
      <c r="L17" s="16"/>
    </row>
    <row r="19" spans="1:12" s="10" customFormat="1" x14ac:dyDescent="0.35">
      <c r="A19" s="14" t="s">
        <v>117</v>
      </c>
      <c r="B19" s="14" t="s">
        <v>28</v>
      </c>
      <c r="C19" s="14" t="s">
        <v>29</v>
      </c>
      <c r="D19" s="14" t="s">
        <v>30</v>
      </c>
      <c r="E19" s="14" t="s">
        <v>31</v>
      </c>
      <c r="F19" s="14"/>
      <c r="G19" s="14">
        <v>2020</v>
      </c>
      <c r="H19" s="14">
        <v>2021</v>
      </c>
      <c r="I19" s="14">
        <v>2022</v>
      </c>
      <c r="J19" s="14">
        <v>2023</v>
      </c>
      <c r="K19" s="14">
        <v>2024</v>
      </c>
      <c r="L19" s="14">
        <v>2025</v>
      </c>
    </row>
    <row r="20" spans="1:12" x14ac:dyDescent="0.35">
      <c r="A20" s="14" t="str">
        <f>'Population Definitions'!$A$13</f>
        <v>rds_hm</v>
      </c>
      <c r="B20" s="15" t="s">
        <v>32</v>
      </c>
      <c r="C20" s="15" t="s">
        <v>36</v>
      </c>
      <c r="D20" s="16"/>
      <c r="E20" s="35">
        <v>0.81</v>
      </c>
      <c r="F20" s="17" t="s">
        <v>34</v>
      </c>
      <c r="G20" s="18"/>
      <c r="H20" s="16"/>
      <c r="I20" s="16"/>
      <c r="J20" s="16"/>
      <c r="K20" s="16"/>
      <c r="L20" s="16"/>
    </row>
    <row r="22" spans="1:12" s="10" customFormat="1" x14ac:dyDescent="0.35">
      <c r="A22" s="14" t="s">
        <v>118</v>
      </c>
      <c r="B22" s="14" t="s">
        <v>28</v>
      </c>
      <c r="C22" s="14" t="s">
        <v>29</v>
      </c>
      <c r="D22" s="14" t="s">
        <v>30</v>
      </c>
      <c r="E22" s="14" t="s">
        <v>31</v>
      </c>
      <c r="F22" s="14"/>
      <c r="G22" s="14">
        <v>2020</v>
      </c>
      <c r="H22" s="14">
        <v>2021</v>
      </c>
      <c r="I22" s="14">
        <v>2022</v>
      </c>
      <c r="J22" s="14">
        <v>2023</v>
      </c>
      <c r="K22" s="14">
        <v>2024</v>
      </c>
      <c r="L22" s="14">
        <v>2025</v>
      </c>
    </row>
    <row r="23" spans="1:12" x14ac:dyDescent="0.35">
      <c r="A23" s="14" t="str">
        <f>'Population Definitions'!$A$13</f>
        <v>rds_hm</v>
      </c>
      <c r="B23" s="15" t="s">
        <v>32</v>
      </c>
      <c r="C23" s="15" t="s">
        <v>36</v>
      </c>
      <c r="D23" s="16"/>
      <c r="E23" s="35">
        <v>1</v>
      </c>
      <c r="F23" s="17" t="s">
        <v>34</v>
      </c>
      <c r="G23" s="18"/>
      <c r="H23" s="16"/>
      <c r="I23" s="16"/>
      <c r="J23" s="16"/>
      <c r="K23" s="16"/>
      <c r="L23" s="16"/>
    </row>
    <row r="25" spans="1:12" s="10" customFormat="1" x14ac:dyDescent="0.35">
      <c r="A25" s="14" t="s">
        <v>229</v>
      </c>
      <c r="B25" s="14" t="s">
        <v>28</v>
      </c>
      <c r="C25" s="14" t="s">
        <v>29</v>
      </c>
      <c r="D25" s="14" t="s">
        <v>30</v>
      </c>
      <c r="E25" s="14" t="s">
        <v>31</v>
      </c>
      <c r="F25" s="14"/>
      <c r="G25" s="14">
        <v>2020</v>
      </c>
      <c r="H25" s="14">
        <v>2021</v>
      </c>
      <c r="I25" s="14">
        <v>2022</v>
      </c>
      <c r="J25" s="14">
        <v>2023</v>
      </c>
      <c r="K25" s="14">
        <v>2024</v>
      </c>
      <c r="L25" s="14">
        <v>2025</v>
      </c>
    </row>
    <row r="26" spans="1:12" x14ac:dyDescent="0.35">
      <c r="A26" s="14" t="str">
        <f>'Population Definitions'!$A$13</f>
        <v>rds_hm</v>
      </c>
      <c r="B26" s="15" t="s">
        <v>32</v>
      </c>
      <c r="C26" s="15" t="s">
        <v>36</v>
      </c>
      <c r="D26" s="16"/>
      <c r="E26" s="36">
        <v>0.376</v>
      </c>
      <c r="F26" s="17" t="s">
        <v>34</v>
      </c>
      <c r="G26" s="18"/>
      <c r="H26" s="16"/>
      <c r="I26" s="16"/>
      <c r="J26" s="16"/>
      <c r="K26" s="16"/>
      <c r="L26" s="16"/>
    </row>
    <row r="28" spans="1:12" x14ac:dyDescent="0.35">
      <c r="A28" s="14" t="s">
        <v>119</v>
      </c>
      <c r="B28" s="14" t="s">
        <v>28</v>
      </c>
      <c r="C28" s="14" t="s">
        <v>29</v>
      </c>
      <c r="D28" s="14" t="s">
        <v>30</v>
      </c>
      <c r="E28" s="14" t="s">
        <v>31</v>
      </c>
      <c r="F28" s="14"/>
      <c r="G28" s="14">
        <v>2020</v>
      </c>
      <c r="H28" s="14">
        <v>2021</v>
      </c>
      <c r="I28" s="14">
        <v>2022</v>
      </c>
      <c r="J28" s="14">
        <v>2023</v>
      </c>
      <c r="K28" s="14">
        <v>2024</v>
      </c>
      <c r="L28" s="14">
        <v>2025</v>
      </c>
    </row>
    <row r="29" spans="1:12" x14ac:dyDescent="0.35">
      <c r="A29" s="14" t="str">
        <f>'Population Definitions'!$A$13</f>
        <v>rds_hm</v>
      </c>
      <c r="B29" s="15" t="s">
        <v>32</v>
      </c>
      <c r="C29" s="15" t="s">
        <v>36</v>
      </c>
      <c r="D29" s="16"/>
      <c r="E29" s="16">
        <v>0</v>
      </c>
      <c r="F29" s="17" t="s">
        <v>34</v>
      </c>
      <c r="G29" s="16"/>
      <c r="H29" s="16"/>
      <c r="I29" s="16"/>
      <c r="J29" s="16"/>
      <c r="K29" s="16"/>
      <c r="L29" s="16"/>
    </row>
    <row r="31" spans="1:12" s="10" customFormat="1" x14ac:dyDescent="0.35">
      <c r="A31" s="14" t="s">
        <v>121</v>
      </c>
      <c r="B31" s="14" t="s">
        <v>28</v>
      </c>
      <c r="C31" s="14" t="s">
        <v>29</v>
      </c>
      <c r="D31" s="14" t="s">
        <v>30</v>
      </c>
      <c r="E31" s="14" t="s">
        <v>31</v>
      </c>
      <c r="F31" s="14"/>
      <c r="G31" s="14">
        <v>2020</v>
      </c>
      <c r="H31" s="14">
        <v>2021</v>
      </c>
      <c r="I31" s="14">
        <v>2022</v>
      </c>
      <c r="J31" s="14">
        <v>2023</v>
      </c>
      <c r="K31" s="14">
        <v>2024</v>
      </c>
      <c r="L31" s="14">
        <v>2025</v>
      </c>
    </row>
    <row r="32" spans="1:12" x14ac:dyDescent="0.35">
      <c r="A32" s="14" t="str">
        <f>'Population Definitions'!$A$13</f>
        <v>rds_hm</v>
      </c>
      <c r="B32" s="15" t="s">
        <v>32</v>
      </c>
      <c r="C32" s="15" t="s">
        <v>36</v>
      </c>
      <c r="D32" s="16"/>
      <c r="E32" s="36">
        <v>0.92200000000000004</v>
      </c>
      <c r="F32" s="17" t="s">
        <v>34</v>
      </c>
      <c r="G32" s="18"/>
      <c r="H32" s="16"/>
      <c r="I32" s="16"/>
      <c r="J32" s="16"/>
      <c r="K32" s="16"/>
      <c r="L32" s="16"/>
    </row>
    <row r="34" spans="1:12" x14ac:dyDescent="0.35">
      <c r="A34" s="14" t="s">
        <v>187</v>
      </c>
      <c r="B34" s="14" t="s">
        <v>28</v>
      </c>
      <c r="C34" s="14" t="s">
        <v>29</v>
      </c>
      <c r="D34" s="14" t="s">
        <v>30</v>
      </c>
      <c r="E34" s="14" t="s">
        <v>31</v>
      </c>
      <c r="F34" s="14"/>
      <c r="G34" s="14">
        <v>2020</v>
      </c>
      <c r="H34" s="14">
        <v>2021</v>
      </c>
      <c r="I34" s="14">
        <v>2022</v>
      </c>
      <c r="J34" s="14">
        <v>2023</v>
      </c>
      <c r="K34" s="14">
        <v>2024</v>
      </c>
      <c r="L34" s="14">
        <v>2025</v>
      </c>
    </row>
    <row r="35" spans="1:12" x14ac:dyDescent="0.35">
      <c r="A35" s="14" t="str">
        <f>'Population Definitions'!$A$13</f>
        <v>rds_hm</v>
      </c>
      <c r="B35" s="15" t="s">
        <v>32</v>
      </c>
      <c r="C35" s="15" t="s">
        <v>64</v>
      </c>
      <c r="D35" s="16"/>
      <c r="E35" s="18">
        <v>0.5474</v>
      </c>
      <c r="F35" s="17" t="s">
        <v>34</v>
      </c>
      <c r="G35" s="16"/>
      <c r="H35" s="16"/>
      <c r="I35" s="16"/>
      <c r="J35" s="16"/>
      <c r="K35" s="16"/>
      <c r="L35" s="16"/>
    </row>
  </sheetData>
  <conditionalFormatting sqref="E2">
    <cfRule type="expression" dxfId="577" priority="5">
      <formula>COUNTIF(G2:L2,"&lt;&gt;" &amp; "")&gt;0</formula>
    </cfRule>
    <cfRule type="expression" dxfId="576" priority="6">
      <formula>AND(COUNTIF(G2:L2,"&lt;&gt;" &amp; "")&gt;0,NOT(ISBLANK(E2)))</formula>
    </cfRule>
  </conditionalFormatting>
  <conditionalFormatting sqref="E8">
    <cfRule type="expression" dxfId="575" priority="13">
      <formula>COUNTIF(G8:L8,"&lt;&gt;" &amp; "")&gt;0</formula>
    </cfRule>
    <cfRule type="expression" dxfId="574" priority="14">
      <formula>AND(COUNTIF(G8:L8,"&lt;&gt;" &amp; "")&gt;0,NOT(ISBLANK(E8)))</formula>
    </cfRule>
  </conditionalFormatting>
  <conditionalFormatting sqref="E11">
    <cfRule type="expression" dxfId="573" priority="9">
      <formula>COUNTIF(G11:L11,"&lt;&gt;" &amp; "")&gt;0</formula>
    </cfRule>
    <cfRule type="expression" dxfId="572" priority="10">
      <formula>AND(COUNTIF(G11:L11,"&lt;&gt;" &amp; "")&gt;0,NOT(ISBLANK(E11)))</formula>
    </cfRule>
  </conditionalFormatting>
  <conditionalFormatting sqref="E14">
    <cfRule type="expression" dxfId="571" priority="7">
      <formula>COUNTIF(G14:L14,"&lt;&gt;" &amp; "")&gt;0</formula>
    </cfRule>
    <cfRule type="expression" dxfId="570" priority="8">
      <formula>AND(COUNTIF(G14:L14,"&lt;&gt;" &amp; "")&gt;0,NOT(ISBLANK(E14)))</formula>
    </cfRule>
  </conditionalFormatting>
  <conditionalFormatting sqref="E17">
    <cfRule type="expression" dxfId="569" priority="19">
      <formula>COUNTIF(G17:L17,"&lt;&gt;" &amp; "")&gt;0</formula>
    </cfRule>
    <cfRule type="expression" dxfId="568" priority="20">
      <formula>AND(COUNTIF(G17:L17,"&lt;&gt;" &amp; "")&gt;0,NOT(ISBLANK(E17)))</formula>
    </cfRule>
  </conditionalFormatting>
  <conditionalFormatting sqref="E29">
    <cfRule type="expression" dxfId="567" priority="1">
      <formula>COUNTIF(G29:L29,"&lt;&gt;" &amp; "")&gt;0</formula>
    </cfRule>
    <cfRule type="expression" dxfId="566" priority="2">
      <formula>AND(COUNTIF(G29:L29,"&lt;&gt;" &amp; "")&gt;0,NOT(ISBLANK(E29)))</formula>
    </cfRule>
  </conditionalFormatting>
  <dataValidations count="1">
    <dataValidation type="list" allowBlank="1" showInputMessage="1" showErrorMessage="1" sqref="C5 C32 C26 C23 C20 C17 C14 C11 C8 C2 C29" xr:uid="{00000000-0002-0000-0B00-000000000000}">
      <formula1>"Proportion"</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L119"/>
  <sheetViews>
    <sheetView topLeftCell="A76" workbookViewId="0">
      <selection sqref="A1:L1048576"/>
    </sheetView>
  </sheetViews>
  <sheetFormatPr defaultRowHeight="14.5" x14ac:dyDescent="0.35"/>
  <cols>
    <col min="1" max="1" width="110.453125" style="15" customWidth="1"/>
    <col min="2" max="2" width="30.26953125" style="15" hidden="1" customWidth="1"/>
    <col min="3" max="3" width="12.7265625" style="15" hidden="1" customWidth="1"/>
    <col min="4" max="4" width="13.81640625" style="15" hidden="1" customWidth="1"/>
    <col min="5" max="5" width="10.54296875" style="15" customWidth="1"/>
    <col min="6" max="6" width="3.81640625" style="15" customWidth="1"/>
    <col min="7" max="12" width="9.453125" style="15" customWidth="1"/>
  </cols>
  <sheetData>
    <row r="1" spans="1:12" x14ac:dyDescent="0.35">
      <c r="A1" s="14" t="s">
        <v>122</v>
      </c>
      <c r="B1" s="14" t="s">
        <v>28</v>
      </c>
      <c r="C1" s="14" t="s">
        <v>29</v>
      </c>
      <c r="D1" s="14" t="s">
        <v>30</v>
      </c>
      <c r="E1" s="14" t="s">
        <v>31</v>
      </c>
      <c r="F1" s="14"/>
      <c r="G1" s="14">
        <v>2020</v>
      </c>
      <c r="H1" s="14">
        <v>2021</v>
      </c>
      <c r="I1" s="14">
        <v>2022</v>
      </c>
      <c r="J1" s="14">
        <v>2023</v>
      </c>
      <c r="K1" s="14">
        <v>2024</v>
      </c>
      <c r="L1" s="14">
        <v>2025</v>
      </c>
    </row>
    <row r="2" spans="1:12" x14ac:dyDescent="0.35">
      <c r="A2" s="14" t="str">
        <f>'Population Definitions'!$A$14</f>
        <v>wasting_hm</v>
      </c>
      <c r="B2" s="15" t="s">
        <v>32</v>
      </c>
      <c r="C2" s="15" t="s">
        <v>36</v>
      </c>
      <c r="D2" s="16"/>
      <c r="E2" s="16">
        <v>0.06</v>
      </c>
      <c r="F2" s="17" t="s">
        <v>34</v>
      </c>
      <c r="G2" s="16"/>
      <c r="H2" s="16"/>
      <c r="I2" s="16"/>
      <c r="J2" s="16"/>
      <c r="K2" s="16"/>
      <c r="L2" s="16"/>
    </row>
    <row r="4" spans="1:12" x14ac:dyDescent="0.35">
      <c r="A4" s="14" t="s">
        <v>123</v>
      </c>
      <c r="B4" s="14" t="s">
        <v>28</v>
      </c>
      <c r="C4" s="14" t="s">
        <v>29</v>
      </c>
      <c r="D4" s="14" t="s">
        <v>30</v>
      </c>
      <c r="E4" s="14" t="s">
        <v>31</v>
      </c>
      <c r="F4" s="14"/>
      <c r="G4" s="14">
        <v>2020</v>
      </c>
      <c r="H4" s="14">
        <v>2021</v>
      </c>
      <c r="I4" s="14">
        <v>2022</v>
      </c>
      <c r="J4" s="14">
        <v>2023</v>
      </c>
      <c r="K4" s="14">
        <v>2024</v>
      </c>
      <c r="L4" s="14">
        <v>2025</v>
      </c>
    </row>
    <row r="5" spans="1:12" x14ac:dyDescent="0.35">
      <c r="A5" s="14" t="str">
        <f>'Population Definitions'!$A$14</f>
        <v>wasting_hm</v>
      </c>
      <c r="B5" s="15" t="s">
        <v>32</v>
      </c>
      <c r="C5" s="15" t="s">
        <v>36</v>
      </c>
      <c r="D5" s="16"/>
      <c r="E5" s="16">
        <v>0.18</v>
      </c>
      <c r="F5" s="17" t="s">
        <v>34</v>
      </c>
      <c r="G5" s="16"/>
      <c r="H5" s="16"/>
      <c r="I5" s="16"/>
      <c r="J5" s="16"/>
      <c r="K5" s="16"/>
      <c r="L5" s="16"/>
    </row>
    <row r="7" spans="1:12" x14ac:dyDescent="0.35">
      <c r="A7" s="14" t="s">
        <v>124</v>
      </c>
      <c r="B7" s="14" t="s">
        <v>28</v>
      </c>
      <c r="C7" s="14" t="s">
        <v>29</v>
      </c>
      <c r="D7" s="14" t="s">
        <v>30</v>
      </c>
      <c r="E7" s="14" t="s">
        <v>31</v>
      </c>
      <c r="F7" s="14"/>
      <c r="G7" s="14">
        <v>2020</v>
      </c>
      <c r="H7" s="14">
        <v>2021</v>
      </c>
      <c r="I7" s="14">
        <v>2022</v>
      </c>
      <c r="J7" s="14">
        <v>2023</v>
      </c>
      <c r="K7" s="14">
        <v>2024</v>
      </c>
      <c r="L7" s="14">
        <v>2025</v>
      </c>
    </row>
    <row r="8" spans="1:12" x14ac:dyDescent="0.35">
      <c r="A8" s="14" t="str">
        <f>'Population Definitions'!$A$14</f>
        <v>wasting_hm</v>
      </c>
      <c r="C8" s="15" t="s">
        <v>36</v>
      </c>
      <c r="D8" s="16"/>
      <c r="E8" s="16">
        <v>0.04</v>
      </c>
      <c r="F8" s="17" t="s">
        <v>34</v>
      </c>
      <c r="G8" s="23"/>
      <c r="H8" s="23"/>
      <c r="I8" s="23"/>
      <c r="J8" s="23"/>
      <c r="K8" s="23"/>
      <c r="L8" s="23"/>
    </row>
    <row r="10" spans="1:12" x14ac:dyDescent="0.35">
      <c r="A10" s="14" t="s">
        <v>125</v>
      </c>
      <c r="B10" s="14" t="s">
        <v>28</v>
      </c>
      <c r="C10" s="14" t="s">
        <v>29</v>
      </c>
      <c r="D10" s="14" t="s">
        <v>30</v>
      </c>
      <c r="E10" s="14" t="s">
        <v>31</v>
      </c>
      <c r="F10" s="14"/>
      <c r="G10" s="14">
        <v>2020</v>
      </c>
      <c r="H10" s="14">
        <v>2021</v>
      </c>
      <c r="I10" s="14">
        <v>2022</v>
      </c>
      <c r="J10" s="14">
        <v>2023</v>
      </c>
      <c r="K10" s="14">
        <v>2024</v>
      </c>
      <c r="L10" s="14">
        <v>2025</v>
      </c>
    </row>
    <row r="11" spans="1:12" x14ac:dyDescent="0.35">
      <c r="A11" s="14" t="str">
        <f>'Population Definitions'!$A$14</f>
        <v>wasting_hm</v>
      </c>
      <c r="C11" s="15" t="s">
        <v>36</v>
      </c>
      <c r="D11" s="16"/>
      <c r="E11" s="16">
        <v>0.15</v>
      </c>
      <c r="F11" s="17" t="s">
        <v>34</v>
      </c>
      <c r="G11" s="23"/>
      <c r="H11" s="23"/>
      <c r="I11" s="23"/>
      <c r="J11" s="23"/>
      <c r="K11" s="23"/>
      <c r="L11" s="23"/>
    </row>
    <row r="13" spans="1:12" x14ac:dyDescent="0.35">
      <c r="A13" s="14" t="s">
        <v>126</v>
      </c>
      <c r="B13" s="14" t="s">
        <v>28</v>
      </c>
      <c r="C13" s="14" t="s">
        <v>29</v>
      </c>
      <c r="D13" s="14" t="s">
        <v>30</v>
      </c>
      <c r="E13" s="14" t="s">
        <v>31</v>
      </c>
      <c r="F13" s="14"/>
      <c r="G13" s="14">
        <v>2020</v>
      </c>
      <c r="H13" s="14">
        <v>2021</v>
      </c>
      <c r="I13" s="14">
        <v>2022</v>
      </c>
      <c r="J13" s="14">
        <v>2023</v>
      </c>
      <c r="K13" s="14">
        <v>2024</v>
      </c>
      <c r="L13" s="14">
        <v>2025</v>
      </c>
    </row>
    <row r="14" spans="1:12" x14ac:dyDescent="0.35">
      <c r="A14" s="14" t="str">
        <f>'Population Definitions'!$A$14</f>
        <v>wasting_hm</v>
      </c>
      <c r="B14" s="15" t="s">
        <v>32</v>
      </c>
      <c r="C14" s="15" t="s">
        <v>36</v>
      </c>
      <c r="D14" s="16"/>
      <c r="E14" s="16">
        <v>1.5</v>
      </c>
      <c r="F14" s="17" t="s">
        <v>34</v>
      </c>
      <c r="G14" s="16"/>
      <c r="H14" s="16"/>
      <c r="I14" s="16"/>
      <c r="J14" s="16"/>
      <c r="K14" s="16"/>
      <c r="L14" s="16"/>
    </row>
    <row r="16" spans="1:12" x14ac:dyDescent="0.35">
      <c r="A16" s="14" t="s">
        <v>127</v>
      </c>
      <c r="B16" s="14" t="s">
        <v>28</v>
      </c>
      <c r="C16" s="14" t="s">
        <v>29</v>
      </c>
      <c r="D16" s="14" t="s">
        <v>30</v>
      </c>
      <c r="E16" s="14" t="s">
        <v>31</v>
      </c>
      <c r="F16" s="14"/>
      <c r="G16" s="14">
        <v>2020</v>
      </c>
      <c r="H16" s="14">
        <v>2021</v>
      </c>
      <c r="I16" s="14">
        <v>2022</v>
      </c>
      <c r="J16" s="14">
        <v>2023</v>
      </c>
      <c r="K16" s="14">
        <v>2024</v>
      </c>
      <c r="L16" s="14">
        <v>2025</v>
      </c>
    </row>
    <row r="17" spans="1:12" x14ac:dyDescent="0.35">
      <c r="A17" s="14" t="str">
        <f>'Population Definitions'!$A$14</f>
        <v>wasting_hm</v>
      </c>
      <c r="B17" s="15" t="s">
        <v>32</v>
      </c>
      <c r="C17" s="15" t="s">
        <v>36</v>
      </c>
      <c r="D17" s="16"/>
      <c r="E17" s="16">
        <v>2.36</v>
      </c>
      <c r="F17" s="17" t="s">
        <v>34</v>
      </c>
      <c r="G17" s="16"/>
      <c r="H17" s="16"/>
      <c r="I17" s="16"/>
      <c r="J17" s="16"/>
      <c r="K17" s="16"/>
      <c r="L17" s="16"/>
    </row>
    <row r="19" spans="1:12" x14ac:dyDescent="0.35">
      <c r="A19" s="14" t="s">
        <v>128</v>
      </c>
      <c r="B19" s="14" t="s">
        <v>28</v>
      </c>
      <c r="C19" s="14" t="s">
        <v>29</v>
      </c>
      <c r="D19" s="14" t="s">
        <v>30</v>
      </c>
      <c r="E19" s="14" t="s">
        <v>31</v>
      </c>
      <c r="F19" s="14"/>
      <c r="G19" s="14">
        <v>2020</v>
      </c>
      <c r="H19" s="14">
        <v>2021</v>
      </c>
      <c r="I19" s="14">
        <v>2022</v>
      </c>
      <c r="J19" s="14">
        <v>2023</v>
      </c>
      <c r="K19" s="14">
        <v>2024</v>
      </c>
      <c r="L19" s="14">
        <v>2025</v>
      </c>
    </row>
    <row r="20" spans="1:12" x14ac:dyDescent="0.35">
      <c r="A20" s="14" t="str">
        <f>'Population Definitions'!$A$14</f>
        <v>wasting_hm</v>
      </c>
      <c r="B20" s="15" t="s">
        <v>32</v>
      </c>
      <c r="C20" s="15" t="s">
        <v>36</v>
      </c>
      <c r="D20" s="16"/>
      <c r="E20" s="16">
        <v>1.55</v>
      </c>
      <c r="F20" s="17" t="s">
        <v>34</v>
      </c>
      <c r="G20" s="16"/>
      <c r="H20" s="16"/>
      <c r="I20" s="16"/>
      <c r="J20" s="16"/>
      <c r="K20" s="16"/>
      <c r="L20" s="16"/>
    </row>
    <row r="22" spans="1:12" x14ac:dyDescent="0.35">
      <c r="A22" s="14" t="s">
        <v>129</v>
      </c>
      <c r="B22" s="14" t="s">
        <v>28</v>
      </c>
      <c r="C22" s="14" t="s">
        <v>29</v>
      </c>
      <c r="D22" s="14" t="s">
        <v>30</v>
      </c>
      <c r="E22" s="14" t="s">
        <v>31</v>
      </c>
      <c r="F22" s="14"/>
      <c r="G22" s="14">
        <v>2020</v>
      </c>
      <c r="H22" s="14">
        <v>2021</v>
      </c>
      <c r="I22" s="14">
        <v>2022</v>
      </c>
      <c r="J22" s="14">
        <v>2023</v>
      </c>
      <c r="K22" s="14">
        <v>2024</v>
      </c>
      <c r="L22" s="14">
        <v>2025</v>
      </c>
    </row>
    <row r="23" spans="1:12" x14ac:dyDescent="0.35">
      <c r="A23" s="14" t="str">
        <f>'Population Definitions'!$A$14</f>
        <v>wasting_hm</v>
      </c>
      <c r="B23" s="15" t="s">
        <v>32</v>
      </c>
      <c r="C23" s="15" t="s">
        <v>36</v>
      </c>
      <c r="D23" s="16"/>
      <c r="E23" s="16">
        <v>2.36</v>
      </c>
      <c r="F23" s="17" t="s">
        <v>34</v>
      </c>
      <c r="G23" s="16"/>
      <c r="H23" s="16"/>
      <c r="I23" s="16"/>
      <c r="J23" s="16"/>
      <c r="K23" s="16"/>
      <c r="L23" s="16"/>
    </row>
    <row r="25" spans="1:12" x14ac:dyDescent="0.35">
      <c r="A25" s="14" t="s">
        <v>130</v>
      </c>
      <c r="B25" s="14" t="s">
        <v>28</v>
      </c>
      <c r="C25" s="14" t="s">
        <v>29</v>
      </c>
      <c r="D25" s="14" t="s">
        <v>30</v>
      </c>
      <c r="E25" s="14" t="s">
        <v>31</v>
      </c>
      <c r="F25" s="14"/>
      <c r="G25" s="14">
        <v>2020</v>
      </c>
      <c r="H25" s="14">
        <v>2021</v>
      </c>
      <c r="I25" s="14">
        <v>2022</v>
      </c>
      <c r="J25" s="14">
        <v>2023</v>
      </c>
      <c r="K25" s="14">
        <v>2024</v>
      </c>
      <c r="L25" s="14">
        <v>2025</v>
      </c>
    </row>
    <row r="26" spans="1:12" x14ac:dyDescent="0.35">
      <c r="A26" s="14" t="str">
        <f>'Population Definitions'!$A$14</f>
        <v>wasting_hm</v>
      </c>
      <c r="B26" s="15" t="s">
        <v>32</v>
      </c>
      <c r="C26" s="15" t="s">
        <v>36</v>
      </c>
      <c r="D26" s="16"/>
      <c r="E26" s="16">
        <v>0</v>
      </c>
      <c r="F26" s="17" t="s">
        <v>34</v>
      </c>
      <c r="G26" s="16"/>
      <c r="H26" s="16"/>
      <c r="I26" s="16"/>
      <c r="J26" s="16"/>
      <c r="K26" s="16"/>
      <c r="L26" s="16"/>
    </row>
    <row r="28" spans="1:12" x14ac:dyDescent="0.35">
      <c r="A28" s="14" t="s">
        <v>282</v>
      </c>
      <c r="B28" s="14" t="s">
        <v>28</v>
      </c>
      <c r="C28" s="14" t="s">
        <v>29</v>
      </c>
      <c r="D28" s="14" t="s">
        <v>30</v>
      </c>
      <c r="E28" s="14" t="s">
        <v>31</v>
      </c>
      <c r="F28" s="14"/>
      <c r="G28" s="14">
        <v>2020</v>
      </c>
      <c r="H28" s="14">
        <v>2021</v>
      </c>
      <c r="I28" s="14">
        <v>2022</v>
      </c>
      <c r="J28" s="14">
        <v>2023</v>
      </c>
      <c r="K28" s="14">
        <v>2024</v>
      </c>
      <c r="L28" s="14">
        <v>2025</v>
      </c>
    </row>
    <row r="29" spans="1:12" x14ac:dyDescent="0.35">
      <c r="A29" s="14" t="str">
        <f>'Population Definitions'!$A$14</f>
        <v>wasting_hm</v>
      </c>
      <c r="B29" s="15" t="s">
        <v>32</v>
      </c>
      <c r="C29" s="15" t="s">
        <v>36</v>
      </c>
      <c r="D29" s="16"/>
      <c r="E29" s="16">
        <v>0</v>
      </c>
      <c r="F29" s="17" t="s">
        <v>34</v>
      </c>
      <c r="G29" s="16"/>
      <c r="H29" s="16"/>
      <c r="I29" s="16"/>
      <c r="J29" s="16"/>
      <c r="K29" s="16"/>
      <c r="L29" s="16"/>
    </row>
    <row r="31" spans="1:12" x14ac:dyDescent="0.35">
      <c r="A31" s="14" t="s">
        <v>283</v>
      </c>
      <c r="B31" s="14" t="s">
        <v>28</v>
      </c>
      <c r="C31" s="14" t="s">
        <v>29</v>
      </c>
      <c r="D31" s="14" t="s">
        <v>30</v>
      </c>
      <c r="E31" s="14" t="s">
        <v>31</v>
      </c>
      <c r="F31" s="14"/>
      <c r="G31" s="14">
        <v>2020</v>
      </c>
      <c r="H31" s="14">
        <v>2021</v>
      </c>
      <c r="I31" s="14">
        <v>2022</v>
      </c>
      <c r="J31" s="14">
        <v>2023</v>
      </c>
      <c r="K31" s="14">
        <v>2024</v>
      </c>
      <c r="L31" s="14">
        <v>2025</v>
      </c>
    </row>
    <row r="32" spans="1:12" x14ac:dyDescent="0.35">
      <c r="A32" s="14" t="str">
        <f>'Population Definitions'!$A$14</f>
        <v>wasting_hm</v>
      </c>
      <c r="B32" s="15" t="s">
        <v>32</v>
      </c>
      <c r="C32" s="15" t="s">
        <v>36</v>
      </c>
      <c r="D32" s="16"/>
      <c r="E32" s="16">
        <v>0</v>
      </c>
      <c r="F32" s="17" t="s">
        <v>34</v>
      </c>
      <c r="G32" s="16"/>
      <c r="H32" s="16"/>
      <c r="I32" s="16"/>
      <c r="J32" s="16"/>
      <c r="K32" s="16"/>
      <c r="L32" s="16"/>
    </row>
    <row r="34" spans="1:12" x14ac:dyDescent="0.35">
      <c r="A34" s="14" t="s">
        <v>284</v>
      </c>
      <c r="B34" s="14" t="s">
        <v>28</v>
      </c>
      <c r="C34" s="14" t="s">
        <v>29</v>
      </c>
      <c r="D34" s="14" t="s">
        <v>30</v>
      </c>
      <c r="E34" s="14" t="s">
        <v>31</v>
      </c>
      <c r="F34" s="14"/>
      <c r="G34" s="14">
        <v>2020</v>
      </c>
      <c r="H34" s="14">
        <v>2021</v>
      </c>
      <c r="I34" s="14">
        <v>2022</v>
      </c>
      <c r="J34" s="14">
        <v>2023</v>
      </c>
      <c r="K34" s="14">
        <v>2024</v>
      </c>
      <c r="L34" s="14">
        <v>2025</v>
      </c>
    </row>
    <row r="35" spans="1:12" x14ac:dyDescent="0.35">
      <c r="A35" s="14" t="str">
        <f>'Population Definitions'!$A$14</f>
        <v>wasting_hm</v>
      </c>
      <c r="B35" s="15" t="s">
        <v>32</v>
      </c>
      <c r="C35" s="15" t="s">
        <v>36</v>
      </c>
      <c r="D35" s="16"/>
      <c r="E35" s="16">
        <v>0</v>
      </c>
      <c r="F35" s="17" t="s">
        <v>34</v>
      </c>
      <c r="G35" s="16"/>
      <c r="H35" s="16"/>
      <c r="I35" s="16"/>
      <c r="J35" s="16"/>
      <c r="K35" s="16"/>
      <c r="L35" s="16"/>
    </row>
    <row r="37" spans="1:12" x14ac:dyDescent="0.35">
      <c r="A37" s="14" t="s">
        <v>285</v>
      </c>
      <c r="B37" s="14" t="s">
        <v>28</v>
      </c>
      <c r="C37" s="14" t="s">
        <v>29</v>
      </c>
      <c r="D37" s="14" t="s">
        <v>30</v>
      </c>
      <c r="E37" s="14" t="s">
        <v>31</v>
      </c>
      <c r="F37" s="14"/>
      <c r="G37" s="14">
        <v>2020</v>
      </c>
      <c r="H37" s="14">
        <v>2021</v>
      </c>
      <c r="I37" s="14">
        <v>2022</v>
      </c>
      <c r="J37" s="14">
        <v>2023</v>
      </c>
      <c r="K37" s="14">
        <v>2024</v>
      </c>
      <c r="L37" s="14">
        <v>2025</v>
      </c>
    </row>
    <row r="38" spans="1:12" x14ac:dyDescent="0.35">
      <c r="A38" s="14" t="str">
        <f>'Population Definitions'!$A$14</f>
        <v>wasting_hm</v>
      </c>
      <c r="B38" s="15" t="s">
        <v>32</v>
      </c>
      <c r="C38" s="15" t="s">
        <v>36</v>
      </c>
      <c r="D38" s="16"/>
      <c r="E38" s="16">
        <v>0</v>
      </c>
      <c r="F38" s="17" t="s">
        <v>34</v>
      </c>
      <c r="G38" s="16"/>
      <c r="H38" s="16"/>
      <c r="I38" s="16"/>
      <c r="J38" s="16"/>
      <c r="K38" s="16"/>
      <c r="L38" s="16"/>
    </row>
    <row r="40" spans="1:12" x14ac:dyDescent="0.35">
      <c r="A40" s="14" t="s">
        <v>286</v>
      </c>
      <c r="B40" s="14" t="s">
        <v>28</v>
      </c>
      <c r="C40" s="14" t="s">
        <v>29</v>
      </c>
      <c r="D40" s="14" t="s">
        <v>30</v>
      </c>
      <c r="E40" s="14" t="s">
        <v>31</v>
      </c>
      <c r="F40" s="14"/>
      <c r="G40" s="14">
        <v>2020</v>
      </c>
      <c r="H40" s="14">
        <v>2021</v>
      </c>
      <c r="I40" s="14">
        <v>2022</v>
      </c>
      <c r="J40" s="14">
        <v>2023</v>
      </c>
      <c r="K40" s="14">
        <v>2024</v>
      </c>
      <c r="L40" s="14">
        <v>2025</v>
      </c>
    </row>
    <row r="41" spans="1:12" x14ac:dyDescent="0.35">
      <c r="A41" s="14" t="str">
        <f>'Population Definitions'!$A$14</f>
        <v>wasting_hm</v>
      </c>
      <c r="B41" s="15" t="s">
        <v>32</v>
      </c>
      <c r="C41" s="15" t="s">
        <v>36</v>
      </c>
      <c r="D41" s="16"/>
      <c r="E41" s="16">
        <v>0</v>
      </c>
      <c r="F41" s="17" t="s">
        <v>34</v>
      </c>
      <c r="G41" s="16"/>
      <c r="H41" s="16"/>
      <c r="I41" s="16"/>
      <c r="J41" s="16"/>
      <c r="K41" s="16"/>
      <c r="L41" s="16"/>
    </row>
    <row r="43" spans="1:12" x14ac:dyDescent="0.35">
      <c r="A43" s="14" t="s">
        <v>287</v>
      </c>
      <c r="B43" s="14" t="s">
        <v>28</v>
      </c>
      <c r="C43" s="14" t="s">
        <v>29</v>
      </c>
      <c r="D43" s="14" t="s">
        <v>30</v>
      </c>
      <c r="E43" s="14" t="s">
        <v>31</v>
      </c>
      <c r="F43" s="14"/>
      <c r="G43" s="14">
        <v>2020</v>
      </c>
      <c r="H43" s="14">
        <v>2021</v>
      </c>
      <c r="I43" s="14">
        <v>2022</v>
      </c>
      <c r="J43" s="14">
        <v>2023</v>
      </c>
      <c r="K43" s="14">
        <v>2024</v>
      </c>
      <c r="L43" s="14">
        <v>2025</v>
      </c>
    </row>
    <row r="44" spans="1:12" x14ac:dyDescent="0.35">
      <c r="A44" s="14" t="str">
        <f>'Population Definitions'!$A$14</f>
        <v>wasting_hm</v>
      </c>
      <c r="B44" s="15" t="s">
        <v>32</v>
      </c>
      <c r="C44" s="15" t="s">
        <v>36</v>
      </c>
      <c r="D44" s="16"/>
      <c r="E44" s="16">
        <v>0</v>
      </c>
      <c r="F44" s="17" t="s">
        <v>34</v>
      </c>
      <c r="G44" s="16"/>
      <c r="H44" s="16"/>
      <c r="I44" s="16"/>
      <c r="J44" s="16"/>
      <c r="K44" s="16"/>
      <c r="L44" s="16"/>
    </row>
    <row r="46" spans="1:12" x14ac:dyDescent="0.35">
      <c r="A46" s="14" t="s">
        <v>288</v>
      </c>
      <c r="B46" s="14" t="s">
        <v>28</v>
      </c>
      <c r="C46" s="14" t="s">
        <v>29</v>
      </c>
      <c r="D46" s="14" t="s">
        <v>30</v>
      </c>
      <c r="E46" s="14" t="s">
        <v>31</v>
      </c>
      <c r="F46" s="14"/>
      <c r="G46" s="14">
        <v>2020</v>
      </c>
      <c r="H46" s="14">
        <v>2021</v>
      </c>
      <c r="I46" s="14">
        <v>2022</v>
      </c>
      <c r="J46" s="14">
        <v>2023</v>
      </c>
      <c r="K46" s="14">
        <v>2024</v>
      </c>
      <c r="L46" s="14">
        <v>2025</v>
      </c>
    </row>
    <row r="47" spans="1:12" x14ac:dyDescent="0.35">
      <c r="A47" s="14" t="str">
        <f>'Population Definitions'!$A$14</f>
        <v>wasting_hm</v>
      </c>
      <c r="B47" s="15" t="s">
        <v>32</v>
      </c>
      <c r="C47" s="15" t="s">
        <v>36</v>
      </c>
      <c r="D47" s="16"/>
      <c r="E47" s="16">
        <v>0</v>
      </c>
      <c r="F47" s="17" t="s">
        <v>34</v>
      </c>
      <c r="G47" s="16"/>
      <c r="H47" s="16"/>
      <c r="I47" s="16"/>
      <c r="J47" s="16"/>
      <c r="K47" s="16"/>
      <c r="L47" s="16"/>
    </row>
    <row r="49" spans="1:12" x14ac:dyDescent="0.35">
      <c r="A49" s="14" t="s">
        <v>289</v>
      </c>
      <c r="B49" s="14" t="s">
        <v>28</v>
      </c>
      <c r="C49" s="14" t="s">
        <v>29</v>
      </c>
      <c r="D49" s="14" t="s">
        <v>30</v>
      </c>
      <c r="E49" s="14" t="s">
        <v>31</v>
      </c>
      <c r="F49" s="14"/>
      <c r="G49" s="14">
        <v>2020</v>
      </c>
      <c r="H49" s="14">
        <v>2021</v>
      </c>
      <c r="I49" s="14">
        <v>2022</v>
      </c>
      <c r="J49" s="14">
        <v>2023</v>
      </c>
      <c r="K49" s="14">
        <v>2024</v>
      </c>
      <c r="L49" s="14">
        <v>2025</v>
      </c>
    </row>
    <row r="50" spans="1:12" x14ac:dyDescent="0.35">
      <c r="A50" s="14" t="str">
        <f>'Population Definitions'!$A$14</f>
        <v>wasting_hm</v>
      </c>
      <c r="B50" s="15" t="s">
        <v>32</v>
      </c>
      <c r="C50" s="15" t="s">
        <v>36</v>
      </c>
      <c r="D50" s="16"/>
      <c r="E50" s="16">
        <v>0</v>
      </c>
      <c r="F50" s="17" t="s">
        <v>34</v>
      </c>
      <c r="G50" s="16"/>
      <c r="H50" s="16"/>
      <c r="I50" s="16"/>
      <c r="J50" s="16"/>
      <c r="K50" s="16"/>
      <c r="L50" s="16"/>
    </row>
    <row r="52" spans="1:12" x14ac:dyDescent="0.35">
      <c r="A52" s="14" t="s">
        <v>131</v>
      </c>
      <c r="B52" s="14" t="s">
        <v>28</v>
      </c>
      <c r="C52" s="14" t="s">
        <v>29</v>
      </c>
      <c r="D52" s="14" t="s">
        <v>30</v>
      </c>
      <c r="E52" s="14" t="s">
        <v>31</v>
      </c>
      <c r="F52" s="14"/>
      <c r="G52" s="14">
        <v>2020</v>
      </c>
      <c r="H52" s="14">
        <v>2021</v>
      </c>
      <c r="I52" s="14">
        <v>2022</v>
      </c>
      <c r="J52" s="14">
        <v>2023</v>
      </c>
      <c r="K52" s="14">
        <v>2024</v>
      </c>
      <c r="L52" s="14">
        <v>2025</v>
      </c>
    </row>
    <row r="53" spans="1:12" x14ac:dyDescent="0.35">
      <c r="A53" s="14" t="str">
        <f>'Population Definitions'!$A$14</f>
        <v>wasting_hm</v>
      </c>
      <c r="B53" s="15" t="s">
        <v>32</v>
      </c>
      <c r="C53" s="15" t="s">
        <v>36</v>
      </c>
      <c r="D53" s="16"/>
      <c r="E53" s="16">
        <v>0</v>
      </c>
      <c r="F53" s="17" t="s">
        <v>34</v>
      </c>
      <c r="G53" s="16"/>
      <c r="H53" s="16"/>
      <c r="I53" s="16"/>
      <c r="J53" s="16"/>
      <c r="K53" s="16"/>
      <c r="L53" s="16"/>
    </row>
    <row r="55" spans="1:12" s="10" customFormat="1" x14ac:dyDescent="0.35">
      <c r="A55" s="14" t="s">
        <v>132</v>
      </c>
      <c r="B55" s="14" t="s">
        <v>28</v>
      </c>
      <c r="C55" s="14" t="s">
        <v>29</v>
      </c>
      <c r="D55" s="14" t="s">
        <v>30</v>
      </c>
      <c r="E55" s="14" t="s">
        <v>31</v>
      </c>
      <c r="F55" s="14"/>
      <c r="G55" s="14">
        <v>2020</v>
      </c>
      <c r="H55" s="14">
        <v>2021</v>
      </c>
      <c r="I55" s="14">
        <v>2022</v>
      </c>
      <c r="J55" s="14">
        <v>2023</v>
      </c>
      <c r="K55" s="14">
        <v>2024</v>
      </c>
      <c r="L55" s="14">
        <v>2025</v>
      </c>
    </row>
    <row r="56" spans="1:12" x14ac:dyDescent="0.35">
      <c r="A56" s="14" t="str">
        <f>'Population Definitions'!$A$14</f>
        <v>wasting_hm</v>
      </c>
      <c r="B56" s="15" t="s">
        <v>32</v>
      </c>
      <c r="C56" s="15" t="s">
        <v>36</v>
      </c>
      <c r="D56" s="16"/>
      <c r="E56" s="16">
        <v>0.33</v>
      </c>
      <c r="F56" s="17" t="s">
        <v>34</v>
      </c>
      <c r="G56" s="18"/>
      <c r="H56" s="16"/>
      <c r="I56" s="16"/>
      <c r="J56" s="16"/>
      <c r="K56" s="16"/>
      <c r="L56" s="16"/>
    </row>
    <row r="58" spans="1:12" s="7" customFormat="1" x14ac:dyDescent="0.35">
      <c r="A58" s="14" t="s">
        <v>133</v>
      </c>
      <c r="B58" s="14" t="s">
        <v>28</v>
      </c>
      <c r="C58" s="14" t="s">
        <v>29</v>
      </c>
      <c r="D58" s="14" t="s">
        <v>30</v>
      </c>
      <c r="E58" s="14" t="s">
        <v>31</v>
      </c>
      <c r="F58" s="14"/>
      <c r="G58" s="14">
        <v>2020</v>
      </c>
      <c r="H58" s="14">
        <v>2021</v>
      </c>
      <c r="I58" s="14">
        <v>2022</v>
      </c>
      <c r="J58" s="14">
        <v>2023</v>
      </c>
      <c r="K58" s="14">
        <v>2024</v>
      </c>
      <c r="L58" s="14">
        <v>2025</v>
      </c>
    </row>
    <row r="59" spans="1:12" s="7" customFormat="1" x14ac:dyDescent="0.35">
      <c r="A59" s="14" t="str">
        <f>'Population Definitions'!$A$14</f>
        <v>wasting_hm</v>
      </c>
      <c r="B59" s="15" t="s">
        <v>32</v>
      </c>
      <c r="C59" s="15" t="s">
        <v>36</v>
      </c>
      <c r="D59" s="16"/>
      <c r="E59" s="37">
        <v>1</v>
      </c>
      <c r="F59" s="17" t="s">
        <v>34</v>
      </c>
      <c r="G59" s="16"/>
      <c r="H59" s="16"/>
      <c r="I59" s="16"/>
      <c r="J59" s="16"/>
      <c r="K59" s="16"/>
      <c r="L59" s="16"/>
    </row>
    <row r="61" spans="1:12" x14ac:dyDescent="0.35">
      <c r="A61" s="14" t="s">
        <v>134</v>
      </c>
      <c r="B61" s="14" t="s">
        <v>28</v>
      </c>
      <c r="C61" s="14" t="s">
        <v>29</v>
      </c>
      <c r="D61" s="14" t="s">
        <v>30</v>
      </c>
      <c r="E61" s="14" t="s">
        <v>31</v>
      </c>
      <c r="F61" s="14"/>
      <c r="G61" s="14">
        <v>2020</v>
      </c>
      <c r="H61" s="14">
        <v>2021</v>
      </c>
      <c r="I61" s="14">
        <v>2022</v>
      </c>
      <c r="J61" s="14">
        <v>2023</v>
      </c>
      <c r="K61" s="14">
        <v>2024</v>
      </c>
      <c r="L61" s="14">
        <v>2025</v>
      </c>
    </row>
    <row r="62" spans="1:12" x14ac:dyDescent="0.35">
      <c r="A62" s="14" t="str">
        <f>'Population Definitions'!$A$14</f>
        <v>wasting_hm</v>
      </c>
      <c r="B62" s="15" t="s">
        <v>32</v>
      </c>
      <c r="C62" s="15" t="s">
        <v>36</v>
      </c>
      <c r="D62" s="16"/>
      <c r="E62" s="16">
        <v>0.05</v>
      </c>
      <c r="F62" s="17" t="s">
        <v>34</v>
      </c>
      <c r="G62" s="16"/>
      <c r="H62" s="16"/>
      <c r="I62" s="16"/>
      <c r="J62" s="16"/>
      <c r="K62" s="16"/>
      <c r="L62" s="16"/>
    </row>
    <row r="64" spans="1:12" x14ac:dyDescent="0.35">
      <c r="A64" s="14" t="s">
        <v>135</v>
      </c>
      <c r="B64" s="14" t="s">
        <v>28</v>
      </c>
      <c r="C64" s="14" t="s">
        <v>29</v>
      </c>
      <c r="D64" s="14" t="s">
        <v>30</v>
      </c>
      <c r="E64" s="14" t="s">
        <v>31</v>
      </c>
      <c r="F64" s="14"/>
      <c r="G64" s="14">
        <v>2020</v>
      </c>
      <c r="H64" s="14">
        <v>2021</v>
      </c>
      <c r="I64" s="14">
        <v>2022</v>
      </c>
      <c r="J64" s="14">
        <v>2023</v>
      </c>
      <c r="K64" s="14">
        <v>2024</v>
      </c>
      <c r="L64" s="14">
        <v>2025</v>
      </c>
    </row>
    <row r="65" spans="1:12" x14ac:dyDescent="0.35">
      <c r="A65" s="14" t="str">
        <f>'Population Definitions'!$A$14</f>
        <v>wasting_hm</v>
      </c>
      <c r="B65" s="15" t="s">
        <v>32</v>
      </c>
      <c r="C65" s="15" t="s">
        <v>36</v>
      </c>
      <c r="D65" s="16"/>
      <c r="E65" s="16">
        <v>0.05</v>
      </c>
      <c r="F65" s="17" t="s">
        <v>34</v>
      </c>
      <c r="G65" s="16"/>
      <c r="H65" s="16"/>
      <c r="I65" s="16"/>
      <c r="J65" s="16"/>
      <c r="K65" s="16"/>
      <c r="L65" s="16"/>
    </row>
    <row r="67" spans="1:12" x14ac:dyDescent="0.35">
      <c r="A67" s="14" t="s">
        <v>136</v>
      </c>
      <c r="B67" s="14" t="s">
        <v>28</v>
      </c>
      <c r="C67" s="14" t="s">
        <v>29</v>
      </c>
      <c r="D67" s="14" t="s">
        <v>30</v>
      </c>
      <c r="E67" s="14" t="s">
        <v>31</v>
      </c>
      <c r="F67" s="14"/>
      <c r="G67" s="14">
        <v>2020</v>
      </c>
      <c r="H67" s="14">
        <v>2021</v>
      </c>
      <c r="I67" s="14">
        <v>2022</v>
      </c>
      <c r="J67" s="14">
        <v>2023</v>
      </c>
      <c r="K67" s="14">
        <v>2024</v>
      </c>
      <c r="L67" s="14">
        <v>2025</v>
      </c>
    </row>
    <row r="68" spans="1:12" x14ac:dyDescent="0.35">
      <c r="A68" s="14" t="str">
        <f>'Population Definitions'!$A$14</f>
        <v>wasting_hm</v>
      </c>
      <c r="B68" s="15" t="s">
        <v>32</v>
      </c>
      <c r="C68" s="15" t="s">
        <v>36</v>
      </c>
      <c r="D68" s="16"/>
      <c r="E68" s="16">
        <v>1.4999999999999999E-2</v>
      </c>
      <c r="F68" s="17" t="s">
        <v>34</v>
      </c>
      <c r="G68" s="16"/>
      <c r="H68" s="16"/>
      <c r="I68" s="16"/>
      <c r="J68" s="16"/>
      <c r="K68" s="16"/>
      <c r="L68" s="16"/>
    </row>
    <row r="70" spans="1:12" x14ac:dyDescent="0.35">
      <c r="A70" s="14" t="s">
        <v>137</v>
      </c>
      <c r="B70" s="14" t="s">
        <v>28</v>
      </c>
      <c r="C70" s="14" t="s">
        <v>29</v>
      </c>
      <c r="D70" s="14" t="s">
        <v>30</v>
      </c>
      <c r="E70" s="14" t="s">
        <v>31</v>
      </c>
      <c r="F70" s="14"/>
      <c r="G70" s="14">
        <v>2020</v>
      </c>
      <c r="H70" s="14">
        <v>2021</v>
      </c>
      <c r="I70" s="14">
        <v>2022</v>
      </c>
      <c r="J70" s="14">
        <v>2023</v>
      </c>
      <c r="K70" s="14">
        <v>2024</v>
      </c>
      <c r="L70" s="14">
        <v>2025</v>
      </c>
    </row>
    <row r="71" spans="1:12" x14ac:dyDescent="0.35">
      <c r="A71" s="14" t="str">
        <f>'Population Definitions'!$A$14</f>
        <v>wasting_hm</v>
      </c>
      <c r="B71" s="15" t="s">
        <v>32</v>
      </c>
      <c r="C71" s="15" t="s">
        <v>36</v>
      </c>
      <c r="D71" s="16"/>
      <c r="E71" s="16">
        <f>0.2</f>
        <v>0.2</v>
      </c>
      <c r="F71" s="17" t="s">
        <v>34</v>
      </c>
      <c r="G71" s="16"/>
      <c r="H71" s="16"/>
      <c r="I71" s="16"/>
      <c r="J71" s="16"/>
      <c r="K71" s="16"/>
      <c r="L71" s="16"/>
    </row>
    <row r="73" spans="1:12" x14ac:dyDescent="0.35">
      <c r="A73" s="14" t="s">
        <v>138</v>
      </c>
      <c r="B73" s="14" t="s">
        <v>28</v>
      </c>
      <c r="C73" s="14" t="s">
        <v>29</v>
      </c>
      <c r="D73" s="14" t="s">
        <v>30</v>
      </c>
      <c r="E73" s="14" t="s">
        <v>31</v>
      </c>
      <c r="F73" s="14"/>
      <c r="G73" s="14">
        <v>2020</v>
      </c>
      <c r="H73" s="14">
        <v>2021</v>
      </c>
      <c r="I73" s="14">
        <v>2022</v>
      </c>
      <c r="J73" s="14">
        <v>2023</v>
      </c>
      <c r="K73" s="14">
        <v>2024</v>
      </c>
      <c r="L73" s="14">
        <v>2025</v>
      </c>
    </row>
    <row r="74" spans="1:12" x14ac:dyDescent="0.35">
      <c r="A74" s="14" t="str">
        <f>'Population Definitions'!$A$14</f>
        <v>wasting_hm</v>
      </c>
      <c r="B74" s="15" t="s">
        <v>32</v>
      </c>
      <c r="C74" s="15" t="s">
        <v>36</v>
      </c>
      <c r="D74" s="16"/>
      <c r="E74" s="16">
        <f>0.08</f>
        <v>0.08</v>
      </c>
      <c r="F74" s="17" t="s">
        <v>34</v>
      </c>
      <c r="G74" s="16"/>
      <c r="H74" s="16"/>
      <c r="I74" s="16"/>
      <c r="J74" s="16"/>
      <c r="K74" s="16"/>
      <c r="L74" s="16"/>
    </row>
    <row r="76" spans="1:12" x14ac:dyDescent="0.35">
      <c r="A76" s="14" t="s">
        <v>234</v>
      </c>
      <c r="B76" s="14" t="s">
        <v>28</v>
      </c>
      <c r="C76" s="14" t="s">
        <v>29</v>
      </c>
      <c r="D76" s="14" t="s">
        <v>30</v>
      </c>
      <c r="E76" s="14" t="s">
        <v>31</v>
      </c>
      <c r="F76" s="14"/>
      <c r="G76" s="14">
        <v>2020</v>
      </c>
      <c r="H76" s="14">
        <v>2021</v>
      </c>
      <c r="I76" s="14">
        <v>2022</v>
      </c>
      <c r="J76" s="14">
        <v>2023</v>
      </c>
      <c r="K76" s="14">
        <v>2024</v>
      </c>
      <c r="L76" s="14">
        <v>2025</v>
      </c>
    </row>
    <row r="77" spans="1:12" x14ac:dyDescent="0.35">
      <c r="A77" s="14" t="str">
        <f>'Population Definitions'!$A$14</f>
        <v>wasting_hm</v>
      </c>
      <c r="B77" s="15" t="s">
        <v>32</v>
      </c>
      <c r="C77" s="15" t="s">
        <v>36</v>
      </c>
      <c r="D77" s="16"/>
      <c r="E77" s="16">
        <f>0.01</f>
        <v>0.01</v>
      </c>
      <c r="F77" s="17" t="s">
        <v>34</v>
      </c>
      <c r="G77" s="16"/>
      <c r="H77" s="16"/>
      <c r="I77" s="16"/>
      <c r="J77" s="16"/>
      <c r="K77" s="16"/>
      <c r="L77" s="16"/>
    </row>
    <row r="79" spans="1:12" x14ac:dyDescent="0.35">
      <c r="A79" s="14" t="s">
        <v>235</v>
      </c>
      <c r="B79" s="14" t="s">
        <v>28</v>
      </c>
      <c r="C79" s="14" t="s">
        <v>29</v>
      </c>
      <c r="D79" s="14" t="s">
        <v>30</v>
      </c>
      <c r="E79" s="14" t="s">
        <v>31</v>
      </c>
      <c r="F79" s="14"/>
      <c r="G79" s="14">
        <v>2020</v>
      </c>
      <c r="H79" s="14">
        <v>2021</v>
      </c>
      <c r="I79" s="14">
        <v>2022</v>
      </c>
      <c r="J79" s="14">
        <v>2023</v>
      </c>
      <c r="K79" s="14">
        <v>2024</v>
      </c>
      <c r="L79" s="14">
        <v>2025</v>
      </c>
    </row>
    <row r="80" spans="1:12" x14ac:dyDescent="0.35">
      <c r="A80" s="14" t="str">
        <f>'Population Definitions'!$A$14</f>
        <v>wasting_hm</v>
      </c>
      <c r="B80" s="15" t="s">
        <v>32</v>
      </c>
      <c r="C80" s="15" t="s">
        <v>36</v>
      </c>
      <c r="D80" s="16"/>
      <c r="E80" s="16">
        <f>0.01</f>
        <v>0.01</v>
      </c>
      <c r="F80" s="17" t="s">
        <v>34</v>
      </c>
      <c r="G80" s="16"/>
      <c r="H80" s="16"/>
      <c r="I80" s="16"/>
      <c r="J80" s="16"/>
      <c r="K80" s="16"/>
      <c r="L80" s="16"/>
    </row>
    <row r="82" spans="1:12" x14ac:dyDescent="0.35">
      <c r="A82" s="14" t="s">
        <v>139</v>
      </c>
      <c r="B82" s="14" t="s">
        <v>28</v>
      </c>
      <c r="C82" s="14" t="s">
        <v>29</v>
      </c>
      <c r="D82" s="14" t="s">
        <v>30</v>
      </c>
      <c r="E82" s="14" t="s">
        <v>31</v>
      </c>
      <c r="F82" s="14"/>
      <c r="G82" s="14">
        <v>2020</v>
      </c>
      <c r="H82" s="14">
        <v>2021</v>
      </c>
      <c r="I82" s="14">
        <v>2022</v>
      </c>
      <c r="J82" s="14">
        <v>2023</v>
      </c>
      <c r="K82" s="14">
        <v>2024</v>
      </c>
      <c r="L82" s="14">
        <v>2025</v>
      </c>
    </row>
    <row r="83" spans="1:12" x14ac:dyDescent="0.35">
      <c r="A83" s="14" t="str">
        <f>'Population Definitions'!$A$14</f>
        <v>wasting_hm</v>
      </c>
      <c r="B83" s="15" t="s">
        <v>32</v>
      </c>
      <c r="C83" s="15" t="s">
        <v>36</v>
      </c>
      <c r="D83" s="16"/>
      <c r="E83" s="16">
        <v>0.05</v>
      </c>
      <c r="F83" s="17" t="s">
        <v>34</v>
      </c>
      <c r="G83" s="16"/>
      <c r="H83" s="16"/>
      <c r="I83" s="16"/>
      <c r="J83" s="16"/>
      <c r="K83" s="16"/>
      <c r="L83" s="16"/>
    </row>
    <row r="85" spans="1:12" x14ac:dyDescent="0.35">
      <c r="A85" s="14" t="s">
        <v>140</v>
      </c>
      <c r="B85" s="14" t="s">
        <v>28</v>
      </c>
      <c r="C85" s="14" t="s">
        <v>29</v>
      </c>
      <c r="D85" s="14" t="s">
        <v>30</v>
      </c>
      <c r="E85" s="14" t="s">
        <v>31</v>
      </c>
      <c r="F85" s="14"/>
      <c r="G85" s="14">
        <v>2020</v>
      </c>
      <c r="H85" s="14">
        <v>2021</v>
      </c>
      <c r="I85" s="14">
        <v>2022</v>
      </c>
      <c r="J85" s="14">
        <v>2023</v>
      </c>
      <c r="K85" s="14">
        <v>2024</v>
      </c>
      <c r="L85" s="14">
        <v>2025</v>
      </c>
    </row>
    <row r="86" spans="1:12" x14ac:dyDescent="0.35">
      <c r="A86" s="14" t="str">
        <f>'Population Definitions'!$A$14</f>
        <v>wasting_hm</v>
      </c>
      <c r="B86" s="15" t="s">
        <v>32</v>
      </c>
      <c r="C86" s="15" t="s">
        <v>36</v>
      </c>
      <c r="D86" s="16"/>
      <c r="E86" s="16">
        <v>1.4999999999999999E-2</v>
      </c>
      <c r="F86" s="17" t="s">
        <v>34</v>
      </c>
      <c r="G86" s="16"/>
      <c r="H86" s="16"/>
      <c r="I86" s="16"/>
      <c r="J86" s="16"/>
      <c r="K86" s="16"/>
      <c r="L86" s="16"/>
    </row>
    <row r="88" spans="1:12" x14ac:dyDescent="0.35">
      <c r="A88" s="14" t="s">
        <v>141</v>
      </c>
      <c r="B88" s="14" t="s">
        <v>28</v>
      </c>
      <c r="C88" s="14" t="s">
        <v>29</v>
      </c>
      <c r="D88" s="14" t="s">
        <v>30</v>
      </c>
      <c r="E88" s="14" t="s">
        <v>31</v>
      </c>
      <c r="F88" s="14"/>
      <c r="G88" s="14">
        <v>2020</v>
      </c>
      <c r="H88" s="14">
        <v>2021</v>
      </c>
      <c r="I88" s="14">
        <v>2022</v>
      </c>
      <c r="J88" s="14">
        <v>2023</v>
      </c>
      <c r="K88" s="14">
        <v>2024</v>
      </c>
      <c r="L88" s="14">
        <v>2025</v>
      </c>
    </row>
    <row r="89" spans="1:12" x14ac:dyDescent="0.35">
      <c r="A89" s="14" t="str">
        <f>'Population Definitions'!$A$14</f>
        <v>wasting_hm</v>
      </c>
      <c r="B89" s="15" t="s">
        <v>32</v>
      </c>
      <c r="C89" s="15" t="s">
        <v>36</v>
      </c>
      <c r="D89" s="16"/>
      <c r="E89" s="16">
        <f>0.2</f>
        <v>0.2</v>
      </c>
      <c r="F89" s="17" t="s">
        <v>34</v>
      </c>
      <c r="G89" s="16"/>
      <c r="H89" s="16"/>
      <c r="I89" s="16"/>
      <c r="J89" s="16"/>
      <c r="K89" s="16"/>
      <c r="L89" s="16"/>
    </row>
    <row r="91" spans="1:12" x14ac:dyDescent="0.35">
      <c r="A91" s="14" t="s">
        <v>142</v>
      </c>
      <c r="B91" s="14" t="s">
        <v>28</v>
      </c>
      <c r="C91" s="14" t="s">
        <v>29</v>
      </c>
      <c r="D91" s="14" t="s">
        <v>30</v>
      </c>
      <c r="E91" s="14" t="s">
        <v>31</v>
      </c>
      <c r="F91" s="14"/>
      <c r="G91" s="14">
        <v>2020</v>
      </c>
      <c r="H91" s="14">
        <v>2021</v>
      </c>
      <c r="I91" s="14">
        <v>2022</v>
      </c>
      <c r="J91" s="14">
        <v>2023</v>
      </c>
      <c r="K91" s="14">
        <v>2024</v>
      </c>
      <c r="L91" s="14">
        <v>2025</v>
      </c>
    </row>
    <row r="92" spans="1:12" x14ac:dyDescent="0.35">
      <c r="A92" s="14" t="str">
        <f>'Population Definitions'!$A$14</f>
        <v>wasting_hm</v>
      </c>
      <c r="B92" s="15" t="s">
        <v>32</v>
      </c>
      <c r="C92" s="15" t="s">
        <v>36</v>
      </c>
      <c r="D92" s="16"/>
      <c r="E92" s="16">
        <f>0.08</f>
        <v>0.08</v>
      </c>
      <c r="F92" s="17" t="s">
        <v>34</v>
      </c>
      <c r="G92" s="16"/>
      <c r="H92" s="16"/>
      <c r="I92" s="16"/>
      <c r="J92" s="16"/>
      <c r="K92" s="16"/>
      <c r="L92" s="16"/>
    </row>
    <row r="94" spans="1:12" x14ac:dyDescent="0.35">
      <c r="A94" s="14" t="s">
        <v>236</v>
      </c>
      <c r="B94" s="14" t="s">
        <v>28</v>
      </c>
      <c r="C94" s="14" t="s">
        <v>29</v>
      </c>
      <c r="D94" s="14" t="s">
        <v>30</v>
      </c>
      <c r="E94" s="14" t="s">
        <v>31</v>
      </c>
      <c r="F94" s="14"/>
      <c r="G94" s="14">
        <v>2020</v>
      </c>
      <c r="H94" s="14">
        <v>2021</v>
      </c>
      <c r="I94" s="14">
        <v>2022</v>
      </c>
      <c r="J94" s="14">
        <v>2023</v>
      </c>
      <c r="K94" s="14">
        <v>2024</v>
      </c>
      <c r="L94" s="14">
        <v>2025</v>
      </c>
    </row>
    <row r="95" spans="1:12" x14ac:dyDescent="0.35">
      <c r="A95" s="14" t="str">
        <f>'Population Definitions'!$A$14</f>
        <v>wasting_hm</v>
      </c>
      <c r="B95" s="15" t="s">
        <v>32</v>
      </c>
      <c r="C95" s="15" t="s">
        <v>36</v>
      </c>
      <c r="D95" s="16"/>
      <c r="E95" s="16">
        <f>0.01</f>
        <v>0.01</v>
      </c>
      <c r="F95" s="17" t="s">
        <v>34</v>
      </c>
      <c r="G95" s="16"/>
      <c r="H95" s="16"/>
      <c r="I95" s="16"/>
      <c r="J95" s="16"/>
      <c r="K95" s="16"/>
      <c r="L95" s="16"/>
    </row>
    <row r="97" spans="1:12" x14ac:dyDescent="0.35">
      <c r="A97" s="14" t="s">
        <v>237</v>
      </c>
      <c r="B97" s="14" t="s">
        <v>28</v>
      </c>
      <c r="C97" s="14" t="s">
        <v>29</v>
      </c>
      <c r="D97" s="14" t="s">
        <v>30</v>
      </c>
      <c r="E97" s="14" t="s">
        <v>31</v>
      </c>
      <c r="F97" s="14"/>
      <c r="G97" s="14">
        <v>2020</v>
      </c>
      <c r="H97" s="14">
        <v>2021</v>
      </c>
      <c r="I97" s="14">
        <v>2022</v>
      </c>
      <c r="J97" s="14">
        <v>2023</v>
      </c>
      <c r="K97" s="14">
        <v>2024</v>
      </c>
      <c r="L97" s="14">
        <v>2025</v>
      </c>
    </row>
    <row r="98" spans="1:12" x14ac:dyDescent="0.35">
      <c r="A98" s="14" t="str">
        <f>'Population Definitions'!$A$14</f>
        <v>wasting_hm</v>
      </c>
      <c r="B98" s="15" t="s">
        <v>32</v>
      </c>
      <c r="C98" s="15" t="s">
        <v>36</v>
      </c>
      <c r="D98" s="16"/>
      <c r="E98" s="16">
        <f>0.01</f>
        <v>0.01</v>
      </c>
      <c r="F98" s="17" t="s">
        <v>34</v>
      </c>
      <c r="G98" s="16"/>
      <c r="H98" s="16"/>
      <c r="I98" s="16"/>
      <c r="J98" s="16"/>
      <c r="K98" s="16"/>
      <c r="L98" s="16"/>
    </row>
    <row r="99" spans="1:12" ht="15.75" customHeight="1" x14ac:dyDescent="0.35"/>
    <row r="100" spans="1:12" x14ac:dyDescent="0.35">
      <c r="A100" s="14" t="s">
        <v>232</v>
      </c>
      <c r="B100" s="14" t="s">
        <v>28</v>
      </c>
      <c r="C100" s="14" t="s">
        <v>29</v>
      </c>
      <c r="D100" s="14" t="s">
        <v>30</v>
      </c>
      <c r="E100" s="14" t="s">
        <v>31</v>
      </c>
      <c r="F100" s="14"/>
      <c r="G100" s="14">
        <v>2020</v>
      </c>
      <c r="H100" s="14">
        <v>2021</v>
      </c>
      <c r="I100" s="14">
        <v>2022</v>
      </c>
      <c r="J100" s="14">
        <v>2023</v>
      </c>
      <c r="K100" s="14">
        <v>2024</v>
      </c>
      <c r="L100" s="14">
        <v>2025</v>
      </c>
    </row>
    <row r="101" spans="1:12" x14ac:dyDescent="0.35">
      <c r="A101" s="14" t="str">
        <f>'Population Definitions'!$A$14</f>
        <v>wasting_hm</v>
      </c>
      <c r="B101" s="15" t="s">
        <v>32</v>
      </c>
      <c r="C101" s="15" t="s">
        <v>64</v>
      </c>
      <c r="D101" s="16"/>
      <c r="E101" s="19">
        <v>1.3299999999999999E-2</v>
      </c>
      <c r="F101" s="17" t="s">
        <v>34</v>
      </c>
      <c r="G101" s="16"/>
      <c r="H101" s="16"/>
      <c r="I101" s="16"/>
      <c r="J101" s="16"/>
      <c r="K101" s="16"/>
      <c r="L101" s="16"/>
    </row>
    <row r="103" spans="1:12" x14ac:dyDescent="0.35">
      <c r="A103" s="14" t="s">
        <v>230</v>
      </c>
      <c r="B103" s="14" t="s">
        <v>28</v>
      </c>
      <c r="C103" s="14" t="s">
        <v>29</v>
      </c>
      <c r="D103" s="14" t="s">
        <v>30</v>
      </c>
      <c r="E103" s="14" t="s">
        <v>31</v>
      </c>
      <c r="F103" s="14"/>
      <c r="G103" s="14">
        <v>2020</v>
      </c>
      <c r="H103" s="14">
        <v>2021</v>
      </c>
      <c r="I103" s="14">
        <v>2022</v>
      </c>
      <c r="J103" s="14">
        <v>2023</v>
      </c>
      <c r="K103" s="14">
        <v>2024</v>
      </c>
      <c r="L103" s="14">
        <v>2025</v>
      </c>
    </row>
    <row r="104" spans="1:12" x14ac:dyDescent="0.35">
      <c r="A104" s="14" t="str">
        <f>'Population Definitions'!$A$14</f>
        <v>wasting_hm</v>
      </c>
      <c r="B104" s="15" t="s">
        <v>32</v>
      </c>
      <c r="C104" s="15" t="s">
        <v>64</v>
      </c>
      <c r="D104" s="16"/>
      <c r="E104" s="19">
        <v>3.3000000000000002E-2</v>
      </c>
      <c r="F104" s="17" t="s">
        <v>34</v>
      </c>
      <c r="G104" s="16"/>
      <c r="H104" s="16"/>
      <c r="I104" s="16"/>
      <c r="J104" s="16"/>
      <c r="K104" s="16"/>
      <c r="L104" s="16"/>
    </row>
    <row r="106" spans="1:12" x14ac:dyDescent="0.35">
      <c r="A106" s="14" t="s">
        <v>231</v>
      </c>
      <c r="B106" s="14" t="s">
        <v>28</v>
      </c>
      <c r="C106" s="14" t="s">
        <v>29</v>
      </c>
      <c r="D106" s="14" t="s">
        <v>30</v>
      </c>
      <c r="E106" s="14" t="s">
        <v>31</v>
      </c>
      <c r="F106" s="14"/>
      <c r="G106" s="14">
        <v>2020</v>
      </c>
      <c r="H106" s="14">
        <v>2021</v>
      </c>
      <c r="I106" s="14">
        <v>2022</v>
      </c>
      <c r="J106" s="14">
        <v>2023</v>
      </c>
      <c r="K106" s="14">
        <v>2024</v>
      </c>
      <c r="L106" s="14">
        <v>2025</v>
      </c>
    </row>
    <row r="107" spans="1:12" x14ac:dyDescent="0.35">
      <c r="A107" s="14" t="str">
        <f>'Population Definitions'!$A$14</f>
        <v>wasting_hm</v>
      </c>
      <c r="B107" s="15" t="s">
        <v>32</v>
      </c>
      <c r="C107" s="15" t="s">
        <v>64</v>
      </c>
      <c r="D107" s="16"/>
      <c r="E107" s="19">
        <v>5.1999999999999998E-2</v>
      </c>
      <c r="F107" s="17" t="s">
        <v>34</v>
      </c>
      <c r="G107" s="16"/>
      <c r="H107" s="16"/>
      <c r="I107" s="16"/>
      <c r="J107" s="16"/>
      <c r="K107" s="16"/>
      <c r="L107" s="16"/>
    </row>
    <row r="109" spans="1:12" x14ac:dyDescent="0.35">
      <c r="A109" s="14" t="s">
        <v>354</v>
      </c>
      <c r="B109" s="14" t="s">
        <v>28</v>
      </c>
      <c r="C109" s="14" t="s">
        <v>29</v>
      </c>
      <c r="D109" s="14" t="s">
        <v>30</v>
      </c>
      <c r="E109" s="14" t="s">
        <v>31</v>
      </c>
      <c r="F109" s="14"/>
      <c r="G109" s="14">
        <v>2020</v>
      </c>
      <c r="H109" s="14">
        <v>2021</v>
      </c>
      <c r="I109" s="14">
        <v>2022</v>
      </c>
      <c r="J109" s="14">
        <v>2023</v>
      </c>
      <c r="K109" s="14">
        <v>2024</v>
      </c>
      <c r="L109" s="14">
        <v>2025</v>
      </c>
    </row>
    <row r="110" spans="1:12" x14ac:dyDescent="0.35">
      <c r="A110" s="14" t="s">
        <v>23</v>
      </c>
      <c r="B110" s="15" t="s">
        <v>32</v>
      </c>
      <c r="C110" s="15" t="s">
        <v>36</v>
      </c>
      <c r="D110" s="16"/>
      <c r="E110" s="16">
        <v>0</v>
      </c>
      <c r="F110" s="17" t="s">
        <v>34</v>
      </c>
      <c r="G110" s="16"/>
      <c r="H110" s="16"/>
      <c r="I110" s="16"/>
      <c r="J110" s="16"/>
      <c r="K110" s="16"/>
      <c r="L110" s="16"/>
    </row>
    <row r="112" spans="1:12" x14ac:dyDescent="0.35">
      <c r="A112" s="14" t="s">
        <v>355</v>
      </c>
      <c r="B112" s="14" t="s">
        <v>28</v>
      </c>
      <c r="C112" s="14" t="s">
        <v>29</v>
      </c>
      <c r="D112" s="14" t="s">
        <v>30</v>
      </c>
      <c r="E112" s="14" t="s">
        <v>31</v>
      </c>
      <c r="F112" s="14"/>
      <c r="G112" s="14">
        <v>2020</v>
      </c>
      <c r="H112" s="14">
        <v>2021</v>
      </c>
      <c r="I112" s="14">
        <v>2022</v>
      </c>
      <c r="J112" s="14">
        <v>2023</v>
      </c>
      <c r="K112" s="14">
        <v>2024</v>
      </c>
      <c r="L112" s="14">
        <v>2025</v>
      </c>
    </row>
    <row r="113" spans="1:12" x14ac:dyDescent="0.35">
      <c r="A113" s="14" t="s">
        <v>23</v>
      </c>
      <c r="B113" s="15" t="s">
        <v>32</v>
      </c>
      <c r="C113" s="15" t="s">
        <v>36</v>
      </c>
      <c r="D113" s="16"/>
      <c r="E113" s="16">
        <v>0</v>
      </c>
      <c r="F113" s="17" t="s">
        <v>34</v>
      </c>
      <c r="G113" s="16"/>
      <c r="H113" s="16"/>
      <c r="I113" s="16"/>
      <c r="J113" s="16"/>
      <c r="K113" s="16"/>
      <c r="L113" s="16"/>
    </row>
    <row r="115" spans="1:12" x14ac:dyDescent="0.35">
      <c r="A115" s="14" t="s">
        <v>356</v>
      </c>
      <c r="B115" s="14" t="s">
        <v>28</v>
      </c>
      <c r="C115" s="14" t="s">
        <v>29</v>
      </c>
      <c r="D115" s="14" t="s">
        <v>30</v>
      </c>
      <c r="E115" s="14" t="s">
        <v>31</v>
      </c>
      <c r="F115" s="14"/>
      <c r="G115" s="14">
        <v>2020</v>
      </c>
      <c r="H115" s="14">
        <v>2021</v>
      </c>
      <c r="I115" s="14">
        <v>2022</v>
      </c>
      <c r="J115" s="14">
        <v>2023</v>
      </c>
      <c r="K115" s="14">
        <v>2024</v>
      </c>
      <c r="L115" s="14">
        <v>2025</v>
      </c>
    </row>
    <row r="116" spans="1:12" x14ac:dyDescent="0.35">
      <c r="A116" s="14" t="s">
        <v>23</v>
      </c>
      <c r="B116" s="15" t="s">
        <v>32</v>
      </c>
      <c r="C116" s="15" t="s">
        <v>36</v>
      </c>
      <c r="D116" s="16"/>
      <c r="E116" s="16">
        <v>0</v>
      </c>
      <c r="F116" s="17" t="s">
        <v>34</v>
      </c>
      <c r="G116" s="16"/>
      <c r="H116" s="16"/>
      <c r="I116" s="16"/>
      <c r="J116" s="16"/>
      <c r="K116" s="16"/>
      <c r="L116" s="16"/>
    </row>
    <row r="118" spans="1:12" x14ac:dyDescent="0.35">
      <c r="A118" s="14" t="s">
        <v>357</v>
      </c>
      <c r="B118" s="14" t="s">
        <v>28</v>
      </c>
      <c r="C118" s="14" t="s">
        <v>29</v>
      </c>
      <c r="D118" s="14" t="s">
        <v>30</v>
      </c>
      <c r="E118" s="14" t="s">
        <v>31</v>
      </c>
      <c r="F118" s="14"/>
      <c r="G118" s="14">
        <v>2020</v>
      </c>
      <c r="H118" s="14">
        <v>2021</v>
      </c>
      <c r="I118" s="14">
        <v>2022</v>
      </c>
      <c r="J118" s="14">
        <v>2023</v>
      </c>
      <c r="K118" s="14">
        <v>2024</v>
      </c>
      <c r="L118" s="14">
        <v>2025</v>
      </c>
    </row>
    <row r="119" spans="1:12" x14ac:dyDescent="0.35">
      <c r="A119" s="14" t="s">
        <v>23</v>
      </c>
      <c r="B119" s="15" t="s">
        <v>32</v>
      </c>
      <c r="C119" s="15" t="s">
        <v>36</v>
      </c>
      <c r="D119" s="16"/>
      <c r="E119" s="16">
        <v>0</v>
      </c>
      <c r="F119" s="17" t="s">
        <v>34</v>
      </c>
      <c r="G119" s="16"/>
      <c r="H119" s="16"/>
      <c r="I119" s="16"/>
      <c r="J119" s="16"/>
      <c r="K119" s="16"/>
      <c r="L119" s="16"/>
    </row>
  </sheetData>
  <conditionalFormatting sqref="E2">
    <cfRule type="expression" dxfId="565" priority="85">
      <formula>COUNTIF(G2:L2,"&lt;&gt;" &amp; "")&gt;0</formula>
    </cfRule>
    <cfRule type="expression" dxfId="564" priority="86">
      <formula>AND(COUNTIF(G2:L2,"&lt;&gt;" &amp; "")&gt;0,NOT(ISBLANK(E2)))</formula>
    </cfRule>
  </conditionalFormatting>
  <conditionalFormatting sqref="E5">
    <cfRule type="expression" dxfId="563" priority="88">
      <formula>AND(COUNTIF(G5:L5,"&lt;&gt;" &amp; "")&gt;0,NOT(ISBLANK(E5)))</formula>
    </cfRule>
    <cfRule type="expression" dxfId="562" priority="87">
      <formula>COUNTIF(G5:L5,"&lt;&gt;" &amp; "")&gt;0</formula>
    </cfRule>
  </conditionalFormatting>
  <conditionalFormatting sqref="E8">
    <cfRule type="expression" dxfId="561" priority="81">
      <formula>COUNTIF(G8:L8,"&lt;&gt;" &amp; "")&gt;0</formula>
    </cfRule>
    <cfRule type="expression" dxfId="560" priority="82">
      <formula>AND(COUNTIF(G8:L8,"&lt;&gt;" &amp; "")&gt;0,NOT(ISBLANK(E8)))</formula>
    </cfRule>
  </conditionalFormatting>
  <conditionalFormatting sqref="E11">
    <cfRule type="expression" dxfId="559" priority="84">
      <formula>AND(COUNTIF(G11:L11,"&lt;&gt;" &amp; "")&gt;0,NOT(ISBLANK(E11)))</formula>
    </cfRule>
    <cfRule type="expression" dxfId="558" priority="83">
      <formula>COUNTIF(G11:L11,"&lt;&gt;" &amp; "")&gt;0</formula>
    </cfRule>
  </conditionalFormatting>
  <conditionalFormatting sqref="E14">
    <cfRule type="expression" dxfId="557" priority="94">
      <formula>AND(COUNTIF(G14:L14,"&lt;&gt;" &amp; "")&gt;0,NOT(ISBLANK(E14)))</formula>
    </cfRule>
    <cfRule type="expression" dxfId="556" priority="93">
      <formula>COUNTIF(G14:L14,"&lt;&gt;" &amp; "")&gt;0</formula>
    </cfRule>
  </conditionalFormatting>
  <conditionalFormatting sqref="E17">
    <cfRule type="expression" dxfId="555" priority="96">
      <formula>AND(COUNTIF(G17:L17,"&lt;&gt;" &amp; "")&gt;0,NOT(ISBLANK(E17)))</formula>
    </cfRule>
    <cfRule type="expression" dxfId="554" priority="95">
      <formula>COUNTIF(G17:L17,"&lt;&gt;" &amp; "")&gt;0</formula>
    </cfRule>
  </conditionalFormatting>
  <conditionalFormatting sqref="E20">
    <cfRule type="expression" dxfId="553" priority="98">
      <formula>AND(COUNTIF(G20:L20,"&lt;&gt;" &amp; "")&gt;0,NOT(ISBLANK(E20)))</formula>
    </cfRule>
    <cfRule type="expression" dxfId="552" priority="97">
      <formula>COUNTIF(G20:L20,"&lt;&gt;" &amp; "")&gt;0</formula>
    </cfRule>
  </conditionalFormatting>
  <conditionalFormatting sqref="E23">
    <cfRule type="expression" dxfId="551" priority="76">
      <formula>AND(COUNTIF(G23:L23,"&lt;&gt;" &amp; "")&gt;0,NOT(ISBLANK(E23)))</formula>
    </cfRule>
    <cfRule type="expression" dxfId="550" priority="75">
      <formula>COUNTIF(G23:L23,"&lt;&gt;" &amp; "")&gt;0</formula>
    </cfRule>
  </conditionalFormatting>
  <conditionalFormatting sqref="E26">
    <cfRule type="expression" dxfId="549" priority="102">
      <formula>AND(COUNTIF(G26:L26,"&lt;&gt;" &amp; "")&gt;0,NOT(ISBLANK(E26)))</formula>
    </cfRule>
    <cfRule type="expression" dxfId="548" priority="101">
      <formula>COUNTIF(G26:L26,"&lt;&gt;" &amp; "")&gt;0</formula>
    </cfRule>
  </conditionalFormatting>
  <conditionalFormatting sqref="E29">
    <cfRule type="expression" dxfId="547" priority="104">
      <formula>AND(COUNTIF(G29:L29,"&lt;&gt;" &amp; "")&gt;0,NOT(ISBLANK(E29)))</formula>
    </cfRule>
    <cfRule type="expression" dxfId="546" priority="103">
      <formula>COUNTIF(G29:L29,"&lt;&gt;" &amp; "")&gt;0</formula>
    </cfRule>
  </conditionalFormatting>
  <conditionalFormatting sqref="E32">
    <cfRule type="expression" dxfId="545" priority="105">
      <formula>COUNTIF(G32:L32,"&lt;&gt;" &amp; "")&gt;0</formula>
    </cfRule>
    <cfRule type="expression" dxfId="544" priority="106">
      <formula>AND(COUNTIF(G32:L32,"&lt;&gt;" &amp; "")&gt;0,NOT(ISBLANK(E32)))</formula>
    </cfRule>
  </conditionalFormatting>
  <conditionalFormatting sqref="E35">
    <cfRule type="expression" dxfId="543" priority="108">
      <formula>AND(COUNTIF(G35:L35,"&lt;&gt;" &amp; "")&gt;0,NOT(ISBLANK(E35)))</formula>
    </cfRule>
    <cfRule type="expression" dxfId="542" priority="107">
      <formula>COUNTIF(G35:L35,"&lt;&gt;" &amp; "")&gt;0</formula>
    </cfRule>
  </conditionalFormatting>
  <conditionalFormatting sqref="E38">
    <cfRule type="expression" dxfId="541" priority="110">
      <formula>AND(COUNTIF(G38:L38,"&lt;&gt;" &amp; "")&gt;0,NOT(ISBLANK(E38)))</formula>
    </cfRule>
    <cfRule type="expression" dxfId="540" priority="109">
      <formula>COUNTIF(G38:L38,"&lt;&gt;" &amp; "")&gt;0</formula>
    </cfRule>
  </conditionalFormatting>
  <conditionalFormatting sqref="E41">
    <cfRule type="expression" dxfId="539" priority="67">
      <formula>COUNTIF(G41:L41,"&lt;&gt;" &amp; "")&gt;0</formula>
    </cfRule>
    <cfRule type="expression" dxfId="538" priority="68">
      <formula>AND(COUNTIF(G41:L41,"&lt;&gt;" &amp; "")&gt;0,NOT(ISBLANK(E41)))</formula>
    </cfRule>
  </conditionalFormatting>
  <conditionalFormatting sqref="E44">
    <cfRule type="expression" dxfId="537" priority="69">
      <formula>COUNTIF(G44:L44,"&lt;&gt;" &amp; "")&gt;0</formula>
    </cfRule>
    <cfRule type="expression" dxfId="536" priority="70">
      <formula>AND(COUNTIF(G44:L44,"&lt;&gt;" &amp; "")&gt;0,NOT(ISBLANK(E44)))</formula>
    </cfRule>
  </conditionalFormatting>
  <conditionalFormatting sqref="E47">
    <cfRule type="expression" dxfId="535" priority="71">
      <formula>COUNTIF(G47:L47,"&lt;&gt;" &amp; "")&gt;0</formula>
    </cfRule>
    <cfRule type="expression" dxfId="534" priority="72">
      <formula>AND(COUNTIF(G47:L47,"&lt;&gt;" &amp; "")&gt;0,NOT(ISBLANK(E47)))</formula>
    </cfRule>
  </conditionalFormatting>
  <conditionalFormatting sqref="E50">
    <cfRule type="expression" dxfId="533" priority="73">
      <formula>COUNTIF(G50:L50,"&lt;&gt;" &amp; "")&gt;0</formula>
    </cfRule>
    <cfRule type="expression" dxfId="532" priority="74">
      <formula>AND(COUNTIF(G50:L50,"&lt;&gt;" &amp; "")&gt;0,NOT(ISBLANK(E50)))</formula>
    </cfRule>
  </conditionalFormatting>
  <conditionalFormatting sqref="E53">
    <cfRule type="expression" dxfId="531" priority="112">
      <formula>AND(COUNTIF(G53:L53,"&lt;&gt;" &amp; "")&gt;0,NOT(ISBLANK(E53)))</formula>
    </cfRule>
    <cfRule type="expression" dxfId="530" priority="111">
      <formula>COUNTIF(G53:L53,"&lt;&gt;" &amp; "")&gt;0</formula>
    </cfRule>
  </conditionalFormatting>
  <conditionalFormatting sqref="E56">
    <cfRule type="expression" dxfId="529" priority="114">
      <formula>AND(COUNTIF(G56:L56,"&lt;&gt;" &amp; "")&gt;0,NOT(ISBLANK(E56)))</formula>
    </cfRule>
    <cfRule type="expression" dxfId="528" priority="113">
      <formula>COUNTIF(G56:L56,"&lt;&gt;" &amp; "")&gt;0</formula>
    </cfRule>
  </conditionalFormatting>
  <conditionalFormatting sqref="E62">
    <cfRule type="expression" dxfId="527" priority="31">
      <formula>COUNTIF(G62:L62,"&lt;&gt;" &amp; "")&gt;0</formula>
    </cfRule>
    <cfRule type="expression" dxfId="526" priority="32">
      <formula>AND(COUNTIF(G62:L62,"&lt;&gt;" &amp; "")&gt;0,NOT(ISBLANK(E62)))</formula>
    </cfRule>
  </conditionalFormatting>
  <conditionalFormatting sqref="E65">
    <cfRule type="expression" dxfId="525" priority="33">
      <formula>COUNTIF(G65:L65,"&lt;&gt;" &amp; "")&gt;0</formula>
    </cfRule>
    <cfRule type="expression" dxfId="524" priority="34">
      <formula>AND(COUNTIF(G65:L65,"&lt;&gt;" &amp; "")&gt;0,NOT(ISBLANK(E65)))</formula>
    </cfRule>
  </conditionalFormatting>
  <conditionalFormatting sqref="E68">
    <cfRule type="expression" dxfId="523" priority="29">
      <formula>COUNTIF(G68:L68,"&lt;&gt;" &amp; "")&gt;0</formula>
    </cfRule>
    <cfRule type="expression" dxfId="522" priority="30">
      <formula>AND(COUNTIF(G68:L68,"&lt;&gt;" &amp; "")&gt;0,NOT(ISBLANK(E68)))</formula>
    </cfRule>
  </conditionalFormatting>
  <conditionalFormatting sqref="E71">
    <cfRule type="expression" dxfId="521" priority="27">
      <formula>COUNTIF(G71:L71,"&lt;&gt;" &amp; "")&gt;0</formula>
    </cfRule>
    <cfRule type="expression" dxfId="520" priority="28">
      <formula>AND(COUNTIF(G71:L71,"&lt;&gt;" &amp; "")&gt;0,NOT(ISBLANK(E71)))</formula>
    </cfRule>
  </conditionalFormatting>
  <conditionalFormatting sqref="E74">
    <cfRule type="expression" dxfId="519" priority="26">
      <formula>AND(COUNTIF(G74:L74,"&lt;&gt;" &amp; "")&gt;0,NOT(ISBLANK(E74)))</formula>
    </cfRule>
    <cfRule type="expression" dxfId="518" priority="25">
      <formula>COUNTIF(G74:L74,"&lt;&gt;" &amp; "")&gt;0</formula>
    </cfRule>
  </conditionalFormatting>
  <conditionalFormatting sqref="E77">
    <cfRule type="expression" dxfId="517" priority="22">
      <formula>AND(COUNTIF(G77:L77,"&lt;&gt;" &amp; "")&gt;0,NOT(ISBLANK(E77)))</formula>
    </cfRule>
    <cfRule type="expression" dxfId="516" priority="21">
      <formula>COUNTIF(G77:L77,"&lt;&gt;" &amp; "")&gt;0</formula>
    </cfRule>
  </conditionalFormatting>
  <conditionalFormatting sqref="E80">
    <cfRule type="expression" dxfId="515" priority="24">
      <formula>AND(COUNTIF(G80:L80,"&lt;&gt;" &amp; "")&gt;0,NOT(ISBLANK(E80)))</formula>
    </cfRule>
    <cfRule type="expression" dxfId="514" priority="23">
      <formula>COUNTIF(G80:L80,"&lt;&gt;" &amp; "")&gt;0</formula>
    </cfRule>
  </conditionalFormatting>
  <conditionalFormatting sqref="E83">
    <cfRule type="expression" dxfId="513" priority="12">
      <formula>AND(COUNTIF(G83:L83,"&lt;&gt;" &amp; "")&gt;0,NOT(ISBLANK(E83)))</formula>
    </cfRule>
    <cfRule type="expression" dxfId="512" priority="11">
      <formula>COUNTIF(G83:L83,"&lt;&gt;" &amp; "")&gt;0</formula>
    </cfRule>
  </conditionalFormatting>
  <conditionalFormatting sqref="E86">
    <cfRule type="expression" dxfId="511" priority="10">
      <formula>AND(COUNTIF(G86:L86,"&lt;&gt;" &amp; "")&gt;0,NOT(ISBLANK(E86)))</formula>
    </cfRule>
    <cfRule type="expression" dxfId="510" priority="9">
      <formula>COUNTIF(G86:L86,"&lt;&gt;" &amp; "")&gt;0</formula>
    </cfRule>
  </conditionalFormatting>
  <conditionalFormatting sqref="E89">
    <cfRule type="expression" dxfId="509" priority="7">
      <formula>COUNTIF(G89:L89,"&lt;&gt;" &amp; "")&gt;0</formula>
    </cfRule>
    <cfRule type="expression" dxfId="508" priority="8">
      <formula>AND(COUNTIF(G89:L89,"&lt;&gt;" &amp; "")&gt;0,NOT(ISBLANK(E89)))</formula>
    </cfRule>
  </conditionalFormatting>
  <conditionalFormatting sqref="E92">
    <cfRule type="expression" dxfId="507" priority="5">
      <formula>COUNTIF(G92:L92,"&lt;&gt;" &amp; "")&gt;0</formula>
    </cfRule>
    <cfRule type="expression" dxfId="506" priority="6">
      <formula>AND(COUNTIF(G92:L92,"&lt;&gt;" &amp; "")&gt;0,NOT(ISBLANK(E92)))</formula>
    </cfRule>
  </conditionalFormatting>
  <conditionalFormatting sqref="E95">
    <cfRule type="expression" dxfId="505" priority="2">
      <formula>AND(COUNTIF(G95:L95,"&lt;&gt;" &amp; "")&gt;0,NOT(ISBLANK(E95)))</formula>
    </cfRule>
    <cfRule type="expression" dxfId="504" priority="1">
      <formula>COUNTIF(G95:L95,"&lt;&gt;" &amp; "")&gt;0</formula>
    </cfRule>
  </conditionalFormatting>
  <conditionalFormatting sqref="E98">
    <cfRule type="expression" dxfId="503" priority="3">
      <formula>COUNTIF(G98:L98,"&lt;&gt;" &amp; "")&gt;0</formula>
    </cfRule>
    <cfRule type="expression" dxfId="502" priority="4">
      <formula>AND(COUNTIF(G98:L98,"&lt;&gt;" &amp; "")&gt;0,NOT(ISBLANK(E98)))</formula>
    </cfRule>
  </conditionalFormatting>
  <conditionalFormatting sqref="E110">
    <cfRule type="expression" dxfId="501" priority="39">
      <formula>COUNTIF(G110:L110,"&lt;&gt;" &amp; "")&gt;0</formula>
    </cfRule>
    <cfRule type="expression" dxfId="500" priority="40">
      <formula>AND(COUNTIF(G110:L110,"&lt;&gt;" &amp; "")&gt;0,NOT(ISBLANK(E110)))</formula>
    </cfRule>
  </conditionalFormatting>
  <conditionalFormatting sqref="E113">
    <cfRule type="expression" dxfId="499" priority="41">
      <formula>COUNTIF(G113:L113,"&lt;&gt;" &amp; "")&gt;0</formula>
    </cfRule>
    <cfRule type="expression" dxfId="498" priority="42">
      <formula>AND(COUNTIF(G113:L113,"&lt;&gt;" &amp; "")&gt;0,NOT(ISBLANK(E113)))</formula>
    </cfRule>
  </conditionalFormatting>
  <conditionalFormatting sqref="E116">
    <cfRule type="expression" dxfId="497" priority="43">
      <formula>COUNTIF(G116:L116,"&lt;&gt;" &amp; "")&gt;0</formula>
    </cfRule>
    <cfRule type="expression" dxfId="496" priority="44">
      <formula>AND(COUNTIF(G116:L116,"&lt;&gt;" &amp; "")&gt;0,NOT(ISBLANK(E116)))</formula>
    </cfRule>
  </conditionalFormatting>
  <conditionalFormatting sqref="E119">
    <cfRule type="expression" dxfId="495" priority="45">
      <formula>COUNTIF(G119:L119,"&lt;&gt;" &amp; "")&gt;0</formula>
    </cfRule>
    <cfRule type="expression" dxfId="494" priority="46">
      <formula>AND(COUNTIF(G119:L119,"&lt;&gt;" &amp; "")&gt;0,NOT(ISBLANK(E119)))</formula>
    </cfRule>
  </conditionalFormatting>
  <dataValidations count="2">
    <dataValidation type="list" allowBlank="1" showInputMessage="1" showErrorMessage="1" sqref="C2 C98 C95 C92 C89 C86 C83 C80 C77 C74 C71 C68 C65 C62 C59 C56 C53 C38 C35 C32 C29 C26 C23 C20 C17 C14 C11 C8 C5 C50 C47 C44 C41 C110 C119 C116 C113" xr:uid="{00000000-0002-0000-0C00-000000000000}">
      <formula1>"Proportion"</formula1>
    </dataValidation>
    <dataValidation type="list" allowBlank="1" showInputMessage="1" showErrorMessage="1" sqref="C101 C104 C107" xr:uid="{00000000-0002-0000-0C00-000021000000}">
      <formula1>"Number"</formula1>
    </dataValidation>
  </dataValidations>
  <pageMargins left="0.7" right="0.7" top="0.75" bottom="0.75" header="0.3" footer="0.3"/>
  <pageSetup paperSize="9" orientation="portrait"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sheetPr>
  <dimension ref="A1:L26"/>
  <sheetViews>
    <sheetView workbookViewId="0">
      <selection sqref="A1:A1048576"/>
    </sheetView>
  </sheetViews>
  <sheetFormatPr defaultRowHeight="14.5" x14ac:dyDescent="0.35"/>
  <cols>
    <col min="1" max="1" width="91.81640625" customWidth="1"/>
    <col min="2" max="2" width="30.26953125" customWidth="1"/>
    <col min="3" max="3" width="19.26953125" customWidth="1"/>
    <col min="4" max="4" width="13.81640625" customWidth="1"/>
    <col min="5" max="5" width="10.54296875" customWidth="1"/>
    <col min="6" max="6" width="3.81640625" customWidth="1"/>
    <col min="7" max="12" width="9.453125" customWidth="1"/>
  </cols>
  <sheetData>
    <row r="1" spans="1:12" x14ac:dyDescent="0.35">
      <c r="A1" s="1" t="s">
        <v>143</v>
      </c>
      <c r="B1" s="1" t="s">
        <v>28</v>
      </c>
      <c r="C1" s="1" t="s">
        <v>29</v>
      </c>
      <c r="D1" s="1" t="s">
        <v>30</v>
      </c>
      <c r="E1" s="1" t="s">
        <v>31</v>
      </c>
      <c r="F1" s="1"/>
      <c r="G1" s="1">
        <v>2020</v>
      </c>
      <c r="H1" s="1">
        <v>2021</v>
      </c>
      <c r="I1" s="1">
        <v>2022</v>
      </c>
      <c r="J1" s="1">
        <v>2023</v>
      </c>
      <c r="K1" s="1">
        <v>2024</v>
      </c>
      <c r="L1" s="1">
        <v>2025</v>
      </c>
    </row>
    <row r="2" spans="1:12" x14ac:dyDescent="0.35">
      <c r="A2" s="1" t="str">
        <f>'Population Definitions'!$A$15</f>
        <v>stunting_hm</v>
      </c>
      <c r="B2" s="13" t="s">
        <v>365</v>
      </c>
      <c r="C2" t="s">
        <v>36</v>
      </c>
      <c r="D2" s="3"/>
      <c r="E2" s="3">
        <v>0.11829923193734941</v>
      </c>
      <c r="F2" s="4" t="s">
        <v>34</v>
      </c>
      <c r="G2" s="9"/>
      <c r="H2" s="3"/>
      <c r="I2" s="3"/>
      <c r="J2" s="3"/>
      <c r="K2" s="3"/>
      <c r="L2" s="3"/>
    </row>
    <row r="4" spans="1:12" x14ac:dyDescent="0.35">
      <c r="A4" s="1" t="s">
        <v>144</v>
      </c>
      <c r="B4" s="1" t="s">
        <v>28</v>
      </c>
      <c r="C4" s="1" t="s">
        <v>29</v>
      </c>
      <c r="D4" s="1" t="s">
        <v>30</v>
      </c>
      <c r="E4" s="1" t="s">
        <v>31</v>
      </c>
      <c r="F4" s="1"/>
      <c r="G4" s="1">
        <v>2020</v>
      </c>
      <c r="H4" s="1">
        <v>2021</v>
      </c>
      <c r="I4" s="1">
        <v>2022</v>
      </c>
      <c r="J4" s="1">
        <v>2023</v>
      </c>
      <c r="K4" s="1">
        <v>2024</v>
      </c>
      <c r="L4" s="1">
        <v>2025</v>
      </c>
    </row>
    <row r="5" spans="1:12" x14ac:dyDescent="0.35">
      <c r="A5" s="1" t="str">
        <f>'Population Definitions'!$A$15</f>
        <v>stunting_hm</v>
      </c>
      <c r="B5" t="s">
        <v>32</v>
      </c>
      <c r="C5" t="s">
        <v>36</v>
      </c>
      <c r="D5" s="3"/>
      <c r="E5" s="3">
        <v>1.25</v>
      </c>
      <c r="F5" s="4" t="s">
        <v>34</v>
      </c>
      <c r="G5" s="3"/>
      <c r="H5" s="3"/>
      <c r="I5" s="3"/>
      <c r="J5" s="3"/>
      <c r="K5" s="3"/>
      <c r="L5" s="3"/>
    </row>
    <row r="7" spans="1:12" x14ac:dyDescent="0.35">
      <c r="A7" s="1" t="s">
        <v>366</v>
      </c>
      <c r="B7" s="1" t="s">
        <v>28</v>
      </c>
      <c r="C7" s="1" t="s">
        <v>29</v>
      </c>
      <c r="D7" s="1" t="s">
        <v>30</v>
      </c>
      <c r="E7" s="1" t="s">
        <v>31</v>
      </c>
      <c r="F7" s="1"/>
      <c r="G7" s="1">
        <v>2020</v>
      </c>
      <c r="H7" s="1">
        <v>2021</v>
      </c>
      <c r="I7" s="1">
        <v>2022</v>
      </c>
      <c r="J7" s="1">
        <v>2023</v>
      </c>
      <c r="K7" s="1">
        <v>2024</v>
      </c>
      <c r="L7" s="1">
        <v>2025</v>
      </c>
    </row>
    <row r="8" spans="1:12" x14ac:dyDescent="0.35">
      <c r="A8" s="1" t="str">
        <f>'[6]Population Definitions'!$A$15</f>
        <v>stunting_hm</v>
      </c>
      <c r="B8" t="s">
        <v>32</v>
      </c>
      <c r="C8" t="s">
        <v>36</v>
      </c>
      <c r="D8" s="3"/>
      <c r="E8" s="3">
        <v>2</v>
      </c>
      <c r="F8" s="4" t="s">
        <v>34</v>
      </c>
      <c r="G8" s="3"/>
      <c r="H8" s="3"/>
      <c r="I8" s="3"/>
      <c r="J8" s="3"/>
      <c r="K8" s="3"/>
      <c r="L8" s="3"/>
    </row>
    <row r="10" spans="1:12" x14ac:dyDescent="0.35">
      <c r="A10" s="1" t="s">
        <v>367</v>
      </c>
      <c r="B10" s="1" t="s">
        <v>28</v>
      </c>
      <c r="C10" s="1" t="s">
        <v>29</v>
      </c>
      <c r="D10" s="1" t="s">
        <v>30</v>
      </c>
      <c r="E10" s="1" t="s">
        <v>31</v>
      </c>
      <c r="F10" s="1"/>
      <c r="G10" s="1">
        <v>2020</v>
      </c>
      <c r="H10" s="1">
        <v>2021</v>
      </c>
      <c r="I10" s="1">
        <v>2022</v>
      </c>
      <c r="J10" s="1">
        <v>2023</v>
      </c>
      <c r="K10" s="1">
        <v>2024</v>
      </c>
      <c r="L10" s="1">
        <v>2025</v>
      </c>
    </row>
    <row r="11" spans="1:12" x14ac:dyDescent="0.35">
      <c r="A11" s="1" t="str">
        <f>'[6]Population Definitions'!$A$15</f>
        <v>stunting_hm</v>
      </c>
      <c r="B11" t="s">
        <v>32</v>
      </c>
      <c r="C11" t="s">
        <v>36</v>
      </c>
      <c r="D11" s="3"/>
      <c r="E11" s="3">
        <v>2</v>
      </c>
      <c r="F11" s="4" t="s">
        <v>34</v>
      </c>
      <c r="G11" s="3"/>
      <c r="H11" s="3"/>
      <c r="I11" s="3"/>
      <c r="J11" s="3"/>
      <c r="K11" s="3"/>
      <c r="L11" s="3"/>
    </row>
    <row r="13" spans="1:12" x14ac:dyDescent="0.35">
      <c r="A13" s="1" t="s">
        <v>228</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Definitions'!$A$15</f>
        <v>stunting_hm</v>
      </c>
      <c r="B14" t="s">
        <v>32</v>
      </c>
      <c r="C14" t="s">
        <v>64</v>
      </c>
      <c r="D14" s="3"/>
      <c r="E14" s="6">
        <v>8.7999999999999995E-2</v>
      </c>
      <c r="F14" s="4" t="s">
        <v>34</v>
      </c>
      <c r="G14" s="3"/>
      <c r="H14" s="3"/>
      <c r="I14" s="3"/>
      <c r="J14" s="3"/>
      <c r="K14" s="3"/>
      <c r="L14" s="3"/>
    </row>
    <row r="16" spans="1:12" x14ac:dyDescent="0.35">
      <c r="A16" s="1" t="s">
        <v>361</v>
      </c>
      <c r="B16" s="1" t="s">
        <v>28</v>
      </c>
      <c r="C16" s="1" t="s">
        <v>29</v>
      </c>
      <c r="D16" s="1" t="s">
        <v>30</v>
      </c>
      <c r="E16" s="1" t="s">
        <v>31</v>
      </c>
      <c r="F16" s="1"/>
      <c r="G16" s="1">
        <v>2020</v>
      </c>
      <c r="H16" s="1">
        <v>2021</v>
      </c>
      <c r="I16" s="1">
        <v>2022</v>
      </c>
      <c r="J16" s="1">
        <v>2023</v>
      </c>
      <c r="K16" s="1">
        <v>2024</v>
      </c>
      <c r="L16" s="1">
        <v>2025</v>
      </c>
    </row>
    <row r="17" spans="1:12" x14ac:dyDescent="0.35">
      <c r="A17" s="1" t="s">
        <v>25</v>
      </c>
      <c r="B17" t="s">
        <v>32</v>
      </c>
      <c r="C17" t="s">
        <v>36</v>
      </c>
      <c r="D17" s="3"/>
      <c r="E17" s="3">
        <v>0</v>
      </c>
      <c r="F17" s="4" t="s">
        <v>34</v>
      </c>
      <c r="G17" s="3"/>
      <c r="H17" s="3"/>
      <c r="I17" s="3"/>
      <c r="J17" s="3"/>
      <c r="K17" s="3"/>
      <c r="L17" s="3"/>
    </row>
    <row r="19" spans="1:12" x14ac:dyDescent="0.35">
      <c r="A19" s="1" t="s">
        <v>362</v>
      </c>
      <c r="B19" s="1" t="s">
        <v>28</v>
      </c>
      <c r="C19" s="1" t="s">
        <v>29</v>
      </c>
      <c r="D19" s="1" t="s">
        <v>30</v>
      </c>
      <c r="E19" s="1" t="s">
        <v>31</v>
      </c>
      <c r="F19" s="1"/>
      <c r="G19" s="1">
        <v>2020</v>
      </c>
      <c r="H19" s="1">
        <v>2021</v>
      </c>
      <c r="I19" s="1">
        <v>2022</v>
      </c>
      <c r="J19" s="1">
        <v>2023</v>
      </c>
      <c r="K19" s="1">
        <v>2024</v>
      </c>
      <c r="L19" s="1">
        <v>2025</v>
      </c>
    </row>
    <row r="20" spans="1:12" x14ac:dyDescent="0.35">
      <c r="A20" s="1" t="s">
        <v>25</v>
      </c>
      <c r="B20" t="s">
        <v>32</v>
      </c>
      <c r="C20" t="s">
        <v>36</v>
      </c>
      <c r="D20" s="3"/>
      <c r="E20" s="3">
        <v>0</v>
      </c>
      <c r="F20" s="4" t="s">
        <v>34</v>
      </c>
      <c r="G20" s="3"/>
      <c r="H20" s="3"/>
      <c r="I20" s="3"/>
      <c r="J20" s="3"/>
      <c r="K20" s="3"/>
      <c r="L20" s="3"/>
    </row>
    <row r="22" spans="1:12" x14ac:dyDescent="0.35">
      <c r="A22" s="1" t="s">
        <v>363</v>
      </c>
      <c r="B22" s="1" t="s">
        <v>28</v>
      </c>
      <c r="C22" s="1" t="s">
        <v>29</v>
      </c>
      <c r="D22" s="1" t="s">
        <v>30</v>
      </c>
      <c r="E22" s="1" t="s">
        <v>31</v>
      </c>
      <c r="F22" s="1"/>
      <c r="G22" s="1">
        <v>2020</v>
      </c>
      <c r="H22" s="1">
        <v>2021</v>
      </c>
      <c r="I22" s="1">
        <v>2022</v>
      </c>
      <c r="J22" s="1">
        <v>2023</v>
      </c>
      <c r="K22" s="1">
        <v>2024</v>
      </c>
      <c r="L22" s="1">
        <v>2025</v>
      </c>
    </row>
    <row r="23" spans="1:12" x14ac:dyDescent="0.35">
      <c r="A23" s="1" t="s">
        <v>25</v>
      </c>
      <c r="B23" t="s">
        <v>32</v>
      </c>
      <c r="C23" t="s">
        <v>36</v>
      </c>
      <c r="D23" s="3"/>
      <c r="E23" s="3">
        <v>0</v>
      </c>
      <c r="F23" s="4" t="s">
        <v>34</v>
      </c>
      <c r="G23" s="3"/>
      <c r="H23" s="3"/>
      <c r="I23" s="3"/>
      <c r="J23" s="3"/>
      <c r="K23" s="3"/>
      <c r="L23" s="3"/>
    </row>
    <row r="25" spans="1:12" x14ac:dyDescent="0.35">
      <c r="A25" s="1" t="s">
        <v>364</v>
      </c>
      <c r="B25" s="1" t="s">
        <v>28</v>
      </c>
      <c r="C25" s="1" t="s">
        <v>29</v>
      </c>
      <c r="D25" s="1" t="s">
        <v>30</v>
      </c>
      <c r="E25" s="1" t="s">
        <v>31</v>
      </c>
      <c r="F25" s="1"/>
      <c r="G25" s="1">
        <v>2020</v>
      </c>
      <c r="H25" s="1">
        <v>2021</v>
      </c>
      <c r="I25" s="1">
        <v>2022</v>
      </c>
      <c r="J25" s="1">
        <v>2023</v>
      </c>
      <c r="K25" s="1">
        <v>2024</v>
      </c>
      <c r="L25" s="1">
        <v>2025</v>
      </c>
    </row>
    <row r="26" spans="1:12" x14ac:dyDescent="0.35">
      <c r="A26" s="1" t="s">
        <v>25</v>
      </c>
      <c r="B26" t="s">
        <v>32</v>
      </c>
      <c r="C26" t="s">
        <v>36</v>
      </c>
      <c r="D26" s="3"/>
      <c r="E26" s="3">
        <v>0</v>
      </c>
      <c r="F26" s="4" t="s">
        <v>34</v>
      </c>
      <c r="G26" s="3"/>
      <c r="H26" s="3"/>
      <c r="I26" s="3"/>
      <c r="J26" s="3"/>
      <c r="K26" s="3"/>
      <c r="L26" s="3"/>
    </row>
  </sheetData>
  <conditionalFormatting sqref="E2">
    <cfRule type="expression" dxfId="493" priority="17">
      <formula>COUNTIF(G2:L2,"&lt;&gt;" &amp; "")&gt;0</formula>
    </cfRule>
    <cfRule type="expression" dxfId="492" priority="18">
      <formula>AND(COUNTIF(G2:L2,"&lt;&gt;" &amp; "")&gt;0,NOT(ISBLANK(E2)))</formula>
    </cfRule>
  </conditionalFormatting>
  <conditionalFormatting sqref="E5">
    <cfRule type="expression" dxfId="491" priority="19">
      <formula>COUNTIF(G5:L5,"&lt;&gt;" &amp; "")&gt;0</formula>
    </cfRule>
    <cfRule type="expression" dxfId="490" priority="20">
      <formula>AND(COUNTIF(G5:L5,"&lt;&gt;" &amp; "")&gt;0,NOT(ISBLANK(E5)))</formula>
    </cfRule>
  </conditionalFormatting>
  <conditionalFormatting sqref="E8">
    <cfRule type="expression" dxfId="489" priority="5">
      <formula>COUNTIF(G8:L8,"&lt;&gt;" &amp; "")&gt;0</formula>
    </cfRule>
    <cfRule type="expression" dxfId="488" priority="6">
      <formula>AND(COUNTIF(G8:L8,"&lt;&gt;" &amp; "")&gt;0,NOT(ISBLANK(E8)))</formula>
    </cfRule>
  </conditionalFormatting>
  <conditionalFormatting sqref="E11">
    <cfRule type="expression" dxfId="487" priority="3">
      <formula>COUNTIF(G11:L11,"&lt;&gt;" &amp; "")&gt;0</formula>
    </cfRule>
    <cfRule type="expression" dxfId="486" priority="4">
      <formula>AND(COUNTIF(G11:L11,"&lt;&gt;" &amp; "")&gt;0,NOT(ISBLANK(E11)))</formula>
    </cfRule>
  </conditionalFormatting>
  <conditionalFormatting sqref="E17">
    <cfRule type="expression" dxfId="485" priority="7">
      <formula>COUNTIF(G17:L17,"&lt;&gt;" &amp; "")&gt;0</formula>
    </cfRule>
    <cfRule type="expression" dxfId="484" priority="8">
      <formula>AND(COUNTIF(G17:L17,"&lt;&gt;" &amp; "")&gt;0,NOT(ISBLANK(E17)))</formula>
    </cfRule>
  </conditionalFormatting>
  <conditionalFormatting sqref="E20">
    <cfRule type="expression" dxfId="483" priority="9">
      <formula>COUNTIF(G20:L20,"&lt;&gt;" &amp; "")&gt;0</formula>
    </cfRule>
    <cfRule type="expression" dxfId="482" priority="10">
      <formula>AND(COUNTIF(G20:L20,"&lt;&gt;" &amp; "")&gt;0,NOT(ISBLANK(E20)))</formula>
    </cfRule>
  </conditionalFormatting>
  <conditionalFormatting sqref="E23">
    <cfRule type="expression" dxfId="481" priority="11">
      <formula>COUNTIF(G23:L23,"&lt;&gt;" &amp; "")&gt;0</formula>
    </cfRule>
    <cfRule type="expression" dxfId="480" priority="12">
      <formula>AND(COUNTIF(G23:L23,"&lt;&gt;" &amp; "")&gt;0,NOT(ISBLANK(E23)))</formula>
    </cfRule>
  </conditionalFormatting>
  <conditionalFormatting sqref="E26">
    <cfRule type="expression" dxfId="479" priority="13">
      <formula>COUNTIF(G26:L26,"&lt;&gt;" &amp; "")&gt;0</formula>
    </cfRule>
    <cfRule type="expression" dxfId="478" priority="14">
      <formula>AND(COUNTIF(G26:L26,"&lt;&gt;" &amp; "")&gt;0,NOT(ISBLANK(E26)))</formula>
    </cfRule>
  </conditionalFormatting>
  <dataValidations count="2">
    <dataValidation type="list" allowBlank="1" showInputMessage="1" showErrorMessage="1" sqref="C2 C5 C26 C23 C20 C17 C8 C11" xr:uid="{00000000-0002-0000-0D00-000001000000}">
      <formula1>"Proportion"</formula1>
    </dataValidation>
    <dataValidation type="list" allowBlank="1" showInputMessage="1" showErrorMessage="1" sqref="C14" xr:uid="{00000000-0002-0000-0D00-000003000000}">
      <formula1>"Number"</formula1>
    </dataValidation>
  </dataValidations>
  <pageMargins left="0.7" right="0.7" top="0.75" bottom="0.75" header="0.3" footer="0.3"/>
  <pageSetup paperSize="9" orientation="portrait"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651D-3EE1-49BD-BDF7-7F63F4AAE8BF}">
  <sheetPr>
    <tabColor rgb="FF808080"/>
  </sheetPr>
  <dimension ref="A1:L44"/>
  <sheetViews>
    <sheetView workbookViewId="0">
      <selection sqref="A1:XFD1048576"/>
    </sheetView>
  </sheetViews>
  <sheetFormatPr defaultRowHeight="14.5" x14ac:dyDescent="0.35"/>
  <cols>
    <col min="1" max="1" width="105.179687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309</v>
      </c>
      <c r="B1" s="1" t="s">
        <v>28</v>
      </c>
      <c r="C1" s="1" t="s">
        <v>29</v>
      </c>
      <c r="D1" s="1" t="s">
        <v>30</v>
      </c>
      <c r="E1" s="1" t="s">
        <v>31</v>
      </c>
      <c r="F1" s="1"/>
      <c r="G1" s="1">
        <v>2020</v>
      </c>
      <c r="H1" s="1">
        <v>2021</v>
      </c>
      <c r="I1" s="1">
        <v>2022</v>
      </c>
      <c r="J1" s="1">
        <v>2023</v>
      </c>
      <c r="K1" s="1">
        <v>2024</v>
      </c>
      <c r="L1" s="1">
        <v>2025</v>
      </c>
    </row>
    <row r="2" spans="1:12" x14ac:dyDescent="0.35">
      <c r="A2" s="1" t="str">
        <f>'[3]Population Definitions'!$A$7</f>
        <v>preecl_hm</v>
      </c>
      <c r="B2" s="8" t="s">
        <v>310</v>
      </c>
      <c r="C2" t="s">
        <v>36</v>
      </c>
      <c r="D2" s="3"/>
      <c r="E2" s="2">
        <v>0.04</v>
      </c>
      <c r="F2" s="4" t="s">
        <v>34</v>
      </c>
      <c r="G2" s="2"/>
      <c r="H2" s="2"/>
      <c r="I2" s="2"/>
      <c r="J2" s="2"/>
      <c r="K2" s="2"/>
      <c r="L2" s="2"/>
    </row>
    <row r="4" spans="1:12" x14ac:dyDescent="0.35">
      <c r="A4" s="1" t="s">
        <v>311</v>
      </c>
      <c r="B4" s="1" t="s">
        <v>28</v>
      </c>
      <c r="C4" s="1" t="s">
        <v>29</v>
      </c>
      <c r="D4" s="1" t="s">
        <v>30</v>
      </c>
      <c r="E4" s="1" t="s">
        <v>31</v>
      </c>
      <c r="F4" s="1"/>
      <c r="G4" s="1">
        <v>2020</v>
      </c>
      <c r="H4" s="1">
        <v>2021</v>
      </c>
      <c r="I4" s="1">
        <v>2022</v>
      </c>
      <c r="J4" s="1">
        <v>2023</v>
      </c>
      <c r="K4" s="1">
        <v>2024</v>
      </c>
      <c r="L4" s="1">
        <v>2025</v>
      </c>
    </row>
    <row r="5" spans="1:12" x14ac:dyDescent="0.35">
      <c r="A5" s="1" t="str">
        <f>'[3]Population Definitions'!$A$7</f>
        <v>preecl_hm</v>
      </c>
      <c r="B5" s="11" t="s">
        <v>310</v>
      </c>
      <c r="C5" t="s">
        <v>36</v>
      </c>
      <c r="D5" s="3"/>
      <c r="E5" s="12">
        <v>0.1</v>
      </c>
      <c r="F5" s="4" t="s">
        <v>34</v>
      </c>
      <c r="G5" s="2"/>
      <c r="H5" s="2"/>
      <c r="I5" s="2"/>
      <c r="J5" s="2"/>
      <c r="K5" s="2"/>
      <c r="L5" s="2"/>
    </row>
    <row r="7" spans="1:12" x14ac:dyDescent="0.35">
      <c r="A7" s="1" t="s">
        <v>312</v>
      </c>
      <c r="B7" s="1" t="s">
        <v>28</v>
      </c>
      <c r="C7" s="1" t="s">
        <v>29</v>
      </c>
      <c r="D7" s="1" t="s">
        <v>30</v>
      </c>
      <c r="E7" s="1" t="s">
        <v>31</v>
      </c>
      <c r="F7" s="1"/>
      <c r="G7" s="1">
        <v>2020</v>
      </c>
      <c r="H7" s="1">
        <v>2021</v>
      </c>
      <c r="I7" s="1">
        <v>2022</v>
      </c>
      <c r="J7" s="1">
        <v>2023</v>
      </c>
      <c r="K7" s="1">
        <v>2024</v>
      </c>
      <c r="L7" s="1">
        <v>2025</v>
      </c>
    </row>
    <row r="8" spans="1:12" x14ac:dyDescent="0.35">
      <c r="A8" s="1" t="str">
        <f>'[3]Population Definitions'!$A$7</f>
        <v>preecl_hm</v>
      </c>
      <c r="B8" t="s">
        <v>313</v>
      </c>
      <c r="C8" t="s">
        <v>36</v>
      </c>
      <c r="D8" s="3"/>
      <c r="E8" s="3">
        <v>1</v>
      </c>
      <c r="F8" s="4" t="s">
        <v>34</v>
      </c>
      <c r="G8" s="3"/>
      <c r="H8" s="3"/>
      <c r="I8" s="3"/>
      <c r="J8" s="3"/>
      <c r="K8" s="3"/>
      <c r="L8" s="3"/>
    </row>
    <row r="10" spans="1:12" x14ac:dyDescent="0.35">
      <c r="A10" s="1" t="s">
        <v>314</v>
      </c>
      <c r="B10" s="1" t="s">
        <v>28</v>
      </c>
      <c r="C10" s="1" t="s">
        <v>29</v>
      </c>
      <c r="D10" s="1" t="s">
        <v>30</v>
      </c>
      <c r="E10" s="1" t="s">
        <v>31</v>
      </c>
      <c r="F10" s="1"/>
      <c r="G10" s="1">
        <v>2020</v>
      </c>
      <c r="H10" s="1">
        <v>2021</v>
      </c>
      <c r="I10" s="1">
        <v>2022</v>
      </c>
      <c r="J10" s="1">
        <v>2023</v>
      </c>
      <c r="K10" s="1">
        <v>2024</v>
      </c>
      <c r="L10" s="1">
        <v>2025</v>
      </c>
    </row>
    <row r="11" spans="1:12" x14ac:dyDescent="0.35">
      <c r="A11" s="1" t="str">
        <f>'[3]Population Definitions'!$A$7</f>
        <v>preecl_hm</v>
      </c>
      <c r="B11" t="s">
        <v>315</v>
      </c>
      <c r="C11" t="s">
        <v>36</v>
      </c>
      <c r="D11" s="3"/>
      <c r="E11" s="3">
        <v>0</v>
      </c>
      <c r="F11" s="4" t="s">
        <v>34</v>
      </c>
      <c r="G11" s="3"/>
      <c r="H11" s="3"/>
      <c r="I11" s="3"/>
      <c r="J11" s="3"/>
      <c r="K11" s="3"/>
      <c r="L11" s="3"/>
    </row>
    <row r="13" spans="1:12" x14ac:dyDescent="0.35">
      <c r="A13" s="1" t="s">
        <v>316</v>
      </c>
      <c r="B13" s="1" t="s">
        <v>28</v>
      </c>
      <c r="C13" s="1" t="s">
        <v>29</v>
      </c>
      <c r="D13" s="1" t="s">
        <v>30</v>
      </c>
      <c r="E13" s="1" t="s">
        <v>31</v>
      </c>
      <c r="F13" s="1"/>
      <c r="G13" s="1">
        <v>2020</v>
      </c>
      <c r="H13" s="1">
        <v>2021</v>
      </c>
      <c r="I13" s="1">
        <v>2022</v>
      </c>
      <c r="J13" s="1">
        <v>2023</v>
      </c>
      <c r="K13" s="1">
        <v>2024</v>
      </c>
      <c r="L13" s="1">
        <v>2025</v>
      </c>
    </row>
    <row r="14" spans="1:12" x14ac:dyDescent="0.35">
      <c r="A14" s="1" t="str">
        <f>'[3]Population Definitions'!$A$7</f>
        <v>preecl_hm</v>
      </c>
      <c r="B14" s="8" t="s">
        <v>317</v>
      </c>
      <c r="C14" t="s">
        <v>36</v>
      </c>
      <c r="D14" s="3"/>
      <c r="E14" s="3">
        <v>0.3</v>
      </c>
      <c r="F14" s="4" t="s">
        <v>34</v>
      </c>
      <c r="G14" s="3"/>
      <c r="H14" s="3"/>
      <c r="I14" s="3"/>
      <c r="J14" s="3"/>
      <c r="K14" s="3"/>
      <c r="L14" s="3"/>
    </row>
    <row r="16" spans="1:12" x14ac:dyDescent="0.35">
      <c r="A16" s="1" t="s">
        <v>318</v>
      </c>
      <c r="B16" s="1" t="s">
        <v>28</v>
      </c>
      <c r="C16" s="1" t="s">
        <v>29</v>
      </c>
      <c r="D16" s="1" t="s">
        <v>30</v>
      </c>
      <c r="E16" s="1" t="s">
        <v>31</v>
      </c>
      <c r="F16" s="1"/>
      <c r="G16" s="1">
        <v>2020</v>
      </c>
      <c r="H16" s="1">
        <v>2021</v>
      </c>
      <c r="I16" s="1">
        <v>2022</v>
      </c>
      <c r="J16" s="1">
        <v>2023</v>
      </c>
      <c r="K16" s="1">
        <v>2024</v>
      </c>
      <c r="L16" s="1">
        <v>2025</v>
      </c>
    </row>
    <row r="17" spans="1:12" x14ac:dyDescent="0.35">
      <c r="A17" s="1" t="str">
        <f>'[3]Population Definitions'!$A$7</f>
        <v>preecl_hm</v>
      </c>
      <c r="B17" t="s">
        <v>313</v>
      </c>
      <c r="C17" t="s">
        <v>36</v>
      </c>
      <c r="D17" s="3"/>
      <c r="E17" s="2">
        <v>0</v>
      </c>
      <c r="F17" s="4" t="s">
        <v>34</v>
      </c>
      <c r="G17" s="2"/>
      <c r="H17" s="2"/>
      <c r="I17" s="2"/>
      <c r="J17" s="2"/>
      <c r="K17" s="2"/>
      <c r="L17" s="2"/>
    </row>
    <row r="19" spans="1:12" x14ac:dyDescent="0.35">
      <c r="A19" s="1" t="s">
        <v>319</v>
      </c>
      <c r="B19" s="1" t="s">
        <v>28</v>
      </c>
      <c r="C19" s="1" t="s">
        <v>29</v>
      </c>
      <c r="D19" s="1" t="s">
        <v>30</v>
      </c>
      <c r="E19" s="1" t="s">
        <v>31</v>
      </c>
      <c r="F19" s="1"/>
      <c r="G19" s="1">
        <v>2020</v>
      </c>
      <c r="H19" s="1">
        <v>2021</v>
      </c>
      <c r="I19" s="1">
        <v>2022</v>
      </c>
      <c r="J19" s="1">
        <v>2023</v>
      </c>
      <c r="K19" s="1">
        <v>2024</v>
      </c>
      <c r="L19" s="1">
        <v>2025</v>
      </c>
    </row>
    <row r="20" spans="1:12" x14ac:dyDescent="0.35">
      <c r="A20" s="1" t="str">
        <f>'[3]Population Definitions'!$A$7</f>
        <v>preecl_hm</v>
      </c>
      <c r="B20" t="s">
        <v>313</v>
      </c>
      <c r="C20" t="s">
        <v>36</v>
      </c>
      <c r="D20" s="3"/>
      <c r="E20" s="2">
        <v>0</v>
      </c>
      <c r="F20" s="4" t="s">
        <v>34</v>
      </c>
      <c r="G20" s="2"/>
      <c r="H20" s="2"/>
      <c r="I20" s="2"/>
      <c r="J20" s="2"/>
      <c r="K20" s="2"/>
      <c r="L20" s="2"/>
    </row>
    <row r="22" spans="1:12" x14ac:dyDescent="0.35">
      <c r="A22" s="1" t="s">
        <v>320</v>
      </c>
      <c r="B22" s="1" t="s">
        <v>28</v>
      </c>
      <c r="C22" s="1" t="s">
        <v>29</v>
      </c>
      <c r="D22" s="1" t="s">
        <v>30</v>
      </c>
      <c r="E22" s="1" t="s">
        <v>31</v>
      </c>
      <c r="F22" s="1"/>
      <c r="G22" s="1">
        <v>2020</v>
      </c>
      <c r="H22" s="1">
        <v>2021</v>
      </c>
      <c r="I22" s="1">
        <v>2022</v>
      </c>
      <c r="J22" s="1">
        <v>2023</v>
      </c>
      <c r="K22" s="1">
        <v>2024</v>
      </c>
      <c r="L22" s="1">
        <v>2025</v>
      </c>
    </row>
    <row r="23" spans="1:12" x14ac:dyDescent="0.35">
      <c r="A23" s="1" t="str">
        <f>'[3]Population Definitions'!$A$7</f>
        <v>preecl_hm</v>
      </c>
      <c r="B23" t="s">
        <v>321</v>
      </c>
      <c r="C23" t="s">
        <v>36</v>
      </c>
      <c r="D23" s="3"/>
      <c r="E23" s="2">
        <v>1E-3</v>
      </c>
      <c r="F23" s="4" t="s">
        <v>34</v>
      </c>
      <c r="G23" s="2"/>
      <c r="H23" s="2"/>
      <c r="I23" s="2"/>
      <c r="J23" s="2"/>
      <c r="K23" s="2"/>
      <c r="L23" s="2"/>
    </row>
    <row r="25" spans="1:12" x14ac:dyDescent="0.35">
      <c r="A25" s="1" t="s">
        <v>322</v>
      </c>
      <c r="B25" s="1" t="s">
        <v>28</v>
      </c>
      <c r="C25" s="1" t="s">
        <v>29</v>
      </c>
      <c r="D25" s="1" t="s">
        <v>30</v>
      </c>
      <c r="E25" s="1" t="s">
        <v>31</v>
      </c>
      <c r="F25" s="1"/>
      <c r="G25" s="1">
        <v>2020</v>
      </c>
      <c r="H25" s="1">
        <v>2021</v>
      </c>
      <c r="I25" s="1">
        <v>2022</v>
      </c>
      <c r="J25" s="1">
        <v>2023</v>
      </c>
      <c r="K25" s="1">
        <v>2024</v>
      </c>
      <c r="L25" s="1">
        <v>2025</v>
      </c>
    </row>
    <row r="26" spans="1:12" x14ac:dyDescent="0.35">
      <c r="A26" s="1" t="str">
        <f>'[3]Population Definitions'!$A$7</f>
        <v>preecl_hm</v>
      </c>
      <c r="B26" t="s">
        <v>323</v>
      </c>
      <c r="C26" t="s">
        <v>36</v>
      </c>
      <c r="D26" s="3"/>
      <c r="E26" s="2">
        <v>0.05</v>
      </c>
      <c r="F26" s="4" t="s">
        <v>34</v>
      </c>
      <c r="G26" s="2"/>
      <c r="H26" s="2"/>
      <c r="I26" s="2"/>
      <c r="J26" s="2"/>
      <c r="K26" s="2"/>
      <c r="L26" s="2"/>
    </row>
    <row r="28" spans="1:12" x14ac:dyDescent="0.35">
      <c r="A28" s="1" t="s">
        <v>324</v>
      </c>
      <c r="B28" s="1" t="s">
        <v>28</v>
      </c>
      <c r="C28" s="1" t="s">
        <v>29</v>
      </c>
      <c r="D28" s="1" t="s">
        <v>30</v>
      </c>
      <c r="E28" s="1" t="s">
        <v>31</v>
      </c>
      <c r="F28" s="1"/>
      <c r="G28" s="1">
        <v>2020</v>
      </c>
      <c r="H28" s="1">
        <v>2021</v>
      </c>
      <c r="I28" s="1">
        <v>2022</v>
      </c>
      <c r="J28" s="1">
        <v>2023</v>
      </c>
      <c r="K28" s="1">
        <v>2024</v>
      </c>
      <c r="L28" s="1">
        <v>2025</v>
      </c>
    </row>
    <row r="29" spans="1:12" x14ac:dyDescent="0.35">
      <c r="A29" s="1" t="str">
        <f>'[3]Population Definitions'!$A$7</f>
        <v>preecl_hm</v>
      </c>
      <c r="B29" t="s">
        <v>313</v>
      </c>
      <c r="C29" t="s">
        <v>36</v>
      </c>
      <c r="D29" s="3"/>
      <c r="E29">
        <v>0</v>
      </c>
      <c r="F29" s="4" t="s">
        <v>34</v>
      </c>
      <c r="G29" s="2"/>
      <c r="H29" s="2"/>
      <c r="I29" s="2"/>
      <c r="J29" s="2"/>
      <c r="K29" s="2"/>
      <c r="L29" s="2"/>
    </row>
    <row r="31" spans="1:12" x14ac:dyDescent="0.35">
      <c r="A31" s="1" t="s">
        <v>325</v>
      </c>
      <c r="B31" s="1" t="s">
        <v>28</v>
      </c>
      <c r="C31" s="1" t="s">
        <v>29</v>
      </c>
      <c r="D31" s="1" t="s">
        <v>30</v>
      </c>
      <c r="E31" s="1" t="s">
        <v>31</v>
      </c>
      <c r="F31" s="1"/>
      <c r="G31" s="1">
        <v>2020</v>
      </c>
      <c r="H31" s="1">
        <v>2021</v>
      </c>
      <c r="I31" s="1">
        <v>2022</v>
      </c>
      <c r="J31" s="1">
        <v>2023</v>
      </c>
      <c r="K31" s="1">
        <v>2024</v>
      </c>
      <c r="L31" s="1">
        <v>2025</v>
      </c>
    </row>
    <row r="32" spans="1:12" x14ac:dyDescent="0.35">
      <c r="A32" s="1" t="str">
        <f>'[3]Population Definitions'!$A$7</f>
        <v>preecl_hm</v>
      </c>
      <c r="B32" t="s">
        <v>313</v>
      </c>
      <c r="C32" t="s">
        <v>36</v>
      </c>
      <c r="D32" s="3"/>
      <c r="E32">
        <v>0</v>
      </c>
      <c r="F32" s="4" t="s">
        <v>34</v>
      </c>
      <c r="G32" s="2"/>
      <c r="H32" s="2"/>
      <c r="I32" s="2"/>
      <c r="J32" s="2"/>
      <c r="K32" s="2"/>
      <c r="L32" s="2"/>
    </row>
    <row r="34" spans="1:12" x14ac:dyDescent="0.35">
      <c r="A34" s="1" t="s">
        <v>326</v>
      </c>
      <c r="B34" s="1" t="s">
        <v>28</v>
      </c>
      <c r="C34" s="1" t="s">
        <v>29</v>
      </c>
      <c r="D34" s="1" t="s">
        <v>30</v>
      </c>
      <c r="E34" s="1" t="s">
        <v>31</v>
      </c>
      <c r="F34" s="1"/>
      <c r="G34" s="1">
        <v>2020</v>
      </c>
      <c r="H34" s="1">
        <v>2021</v>
      </c>
      <c r="I34" s="1">
        <v>2022</v>
      </c>
      <c r="J34" s="1">
        <v>2023</v>
      </c>
      <c r="K34" s="1">
        <v>2024</v>
      </c>
      <c r="L34" s="1">
        <v>2025</v>
      </c>
    </row>
    <row r="35" spans="1:12" x14ac:dyDescent="0.35">
      <c r="A35" s="1" t="str">
        <f>'[3]Population Definitions'!$A$7</f>
        <v>preecl_hm</v>
      </c>
      <c r="B35" t="s">
        <v>313</v>
      </c>
      <c r="C35" t="s">
        <v>36</v>
      </c>
      <c r="D35" s="3"/>
      <c r="E35">
        <v>0</v>
      </c>
      <c r="F35" s="4" t="s">
        <v>34</v>
      </c>
      <c r="G35" s="2"/>
      <c r="H35" s="2"/>
      <c r="I35" s="2"/>
      <c r="J35" s="2"/>
      <c r="K35" s="2"/>
      <c r="L35" s="2"/>
    </row>
    <row r="37" spans="1:12" x14ac:dyDescent="0.35">
      <c r="A37" s="1" t="s">
        <v>327</v>
      </c>
      <c r="B37" s="1" t="s">
        <v>28</v>
      </c>
      <c r="C37" s="1" t="s">
        <v>29</v>
      </c>
      <c r="D37" s="1" t="s">
        <v>30</v>
      </c>
      <c r="E37" s="1" t="s">
        <v>31</v>
      </c>
      <c r="F37" s="1"/>
      <c r="G37" s="1">
        <v>2020</v>
      </c>
      <c r="H37" s="1">
        <v>2021</v>
      </c>
      <c r="I37" s="1">
        <v>2022</v>
      </c>
      <c r="J37" s="1">
        <v>2023</v>
      </c>
      <c r="K37" s="1">
        <v>2024</v>
      </c>
      <c r="L37" s="1">
        <v>2025</v>
      </c>
    </row>
    <row r="38" spans="1:12" x14ac:dyDescent="0.35">
      <c r="A38" s="1" t="str">
        <f>'[3]Population Definitions'!$A$7</f>
        <v>preecl_hm</v>
      </c>
      <c r="B38" t="s">
        <v>313</v>
      </c>
      <c r="C38" t="s">
        <v>36</v>
      </c>
      <c r="D38" s="3"/>
      <c r="E38">
        <v>0</v>
      </c>
      <c r="F38" s="4" t="s">
        <v>34</v>
      </c>
      <c r="G38" s="2"/>
      <c r="H38" s="2"/>
      <c r="I38" s="2"/>
      <c r="J38" s="2"/>
      <c r="K38" s="2"/>
      <c r="L38" s="2"/>
    </row>
    <row r="40" spans="1:12" x14ac:dyDescent="0.35">
      <c r="A40" s="1" t="s">
        <v>328</v>
      </c>
      <c r="B40" s="1" t="s">
        <v>28</v>
      </c>
      <c r="C40" s="1" t="s">
        <v>29</v>
      </c>
      <c r="D40" s="1" t="s">
        <v>30</v>
      </c>
      <c r="E40" s="1" t="s">
        <v>31</v>
      </c>
      <c r="F40" s="1"/>
      <c r="G40" s="1">
        <v>2020</v>
      </c>
      <c r="H40" s="1">
        <v>2021</v>
      </c>
      <c r="I40" s="1">
        <v>2022</v>
      </c>
      <c r="J40" s="1">
        <v>2023</v>
      </c>
      <c r="K40" s="1">
        <v>2024</v>
      </c>
      <c r="L40" s="1">
        <v>2025</v>
      </c>
    </row>
    <row r="41" spans="1:12" x14ac:dyDescent="0.35">
      <c r="A41" s="1" t="str">
        <f>'[3]Population Definitions'!$A$7</f>
        <v>preecl_hm</v>
      </c>
      <c r="B41" t="s">
        <v>321</v>
      </c>
      <c r="C41" t="s">
        <v>36</v>
      </c>
      <c r="D41" s="3"/>
      <c r="E41" s="2">
        <v>1E-3</v>
      </c>
      <c r="F41" s="4" t="s">
        <v>34</v>
      </c>
      <c r="G41" s="2"/>
      <c r="H41" s="2"/>
      <c r="I41" s="2"/>
      <c r="J41" s="2"/>
      <c r="K41" s="2"/>
      <c r="L41" s="2"/>
    </row>
    <row r="43" spans="1:12" x14ac:dyDescent="0.35">
      <c r="A43" s="1" t="s">
        <v>329</v>
      </c>
      <c r="B43" s="1" t="s">
        <v>28</v>
      </c>
      <c r="C43" s="1" t="s">
        <v>29</v>
      </c>
      <c r="D43" s="1" t="s">
        <v>30</v>
      </c>
      <c r="E43" s="1" t="s">
        <v>31</v>
      </c>
      <c r="F43" s="1"/>
      <c r="G43" s="1">
        <v>2020</v>
      </c>
      <c r="H43" s="1">
        <v>2021</v>
      </c>
      <c r="I43" s="1">
        <v>2022</v>
      </c>
      <c r="J43" s="1">
        <v>2023</v>
      </c>
      <c r="K43" s="1">
        <v>2024</v>
      </c>
      <c r="L43" s="1">
        <v>2025</v>
      </c>
    </row>
    <row r="44" spans="1:12" x14ac:dyDescent="0.35">
      <c r="A44" s="1" t="str">
        <f>'[7]Population Definitions'!$A$7</f>
        <v>preecl_hm</v>
      </c>
      <c r="B44" t="s">
        <v>330</v>
      </c>
      <c r="C44" t="s">
        <v>64</v>
      </c>
      <c r="D44" s="3"/>
      <c r="E44" s="2">
        <v>9.1888509999999996E-3</v>
      </c>
      <c r="F44" s="4" t="s">
        <v>34</v>
      </c>
      <c r="G44" s="2"/>
      <c r="H44" s="2"/>
      <c r="I44" s="2"/>
      <c r="J44" s="2"/>
      <c r="K44" s="2"/>
      <c r="L44" s="2"/>
    </row>
  </sheetData>
  <conditionalFormatting sqref="E2">
    <cfRule type="expression" dxfId="477" priority="5">
      <formula>COUNTIF(G2:L2,"&lt;&gt;" &amp; "")&gt;0</formula>
    </cfRule>
    <cfRule type="expression" dxfId="476" priority="6">
      <formula>AND(COUNTIF(G2:L2,"&lt;&gt;" &amp; "")&gt;0,NOT(ISBLANK(E2)))</formula>
    </cfRule>
  </conditionalFormatting>
  <conditionalFormatting sqref="E8">
    <cfRule type="expression" dxfId="475" priority="7">
      <formula>COUNTIF(G8:L8,"&lt;&gt;" &amp; "")&gt;0</formula>
    </cfRule>
    <cfRule type="expression" dxfId="474" priority="8">
      <formula>AND(COUNTIF(G8:L8,"&lt;&gt;" &amp; "")&gt;0,NOT(ISBLANK(E8)))</formula>
    </cfRule>
  </conditionalFormatting>
  <conditionalFormatting sqref="E11">
    <cfRule type="expression" dxfId="473" priority="9">
      <formula>COUNTIF(G11:L11,"&lt;&gt;" &amp; "")&gt;0</formula>
    </cfRule>
    <cfRule type="expression" dxfId="472" priority="10">
      <formula>AND(COUNTIF(G11:L11,"&lt;&gt;" &amp; "")&gt;0,NOT(ISBLANK(E11)))</formula>
    </cfRule>
  </conditionalFormatting>
  <conditionalFormatting sqref="E14">
    <cfRule type="expression" dxfId="471" priority="11">
      <formula>COUNTIF(G14:L14,"&lt;&gt;" &amp; "")&gt;0</formula>
    </cfRule>
    <cfRule type="expression" dxfId="470" priority="12">
      <formula>AND(COUNTIF(G14:L14,"&lt;&gt;" &amp; "")&gt;0,NOT(ISBLANK(E14)))</formula>
    </cfRule>
  </conditionalFormatting>
  <conditionalFormatting sqref="E17">
    <cfRule type="expression" dxfId="469" priority="13">
      <formula>COUNTIF(G17:L17,"&lt;&gt;" &amp; "")&gt;0</formula>
    </cfRule>
    <cfRule type="expression" dxfId="468" priority="14">
      <formula>AND(COUNTIF(G17:L17,"&lt;&gt;" &amp; "")&gt;0,NOT(ISBLANK(E17)))</formula>
    </cfRule>
  </conditionalFormatting>
  <conditionalFormatting sqref="E20">
    <cfRule type="expression" dxfId="467" priority="15">
      <formula>COUNTIF(G20:L20,"&lt;&gt;" &amp; "")&gt;0</formula>
    </cfRule>
    <cfRule type="expression" dxfId="466" priority="16">
      <formula>AND(COUNTIF(G20:L20,"&lt;&gt;" &amp; "")&gt;0,NOT(ISBLANK(E20)))</formula>
    </cfRule>
  </conditionalFormatting>
  <conditionalFormatting sqref="E23">
    <cfRule type="expression" dxfId="465" priority="1">
      <formula>COUNTIF(G23:L23,"&lt;&gt;" &amp; "")&gt;0</formula>
    </cfRule>
    <cfRule type="expression" dxfId="464" priority="2">
      <formula>AND(COUNTIF(G23:L23,"&lt;&gt;" &amp; "")&gt;0,NOT(ISBLANK(E23)))</formula>
    </cfRule>
  </conditionalFormatting>
  <conditionalFormatting sqref="E26">
    <cfRule type="expression" dxfId="463" priority="17">
      <formula>COUNTIF(G26:L26,"&lt;&gt;" &amp; "")&gt;0</formula>
    </cfRule>
    <cfRule type="expression" dxfId="462" priority="18">
      <formula>AND(COUNTIF(G26:L26,"&lt;&gt;" &amp; "")&gt;0,NOT(ISBLANK(E26)))</formula>
    </cfRule>
  </conditionalFormatting>
  <conditionalFormatting sqref="E41">
    <cfRule type="expression" dxfId="461" priority="19">
      <formula>COUNTIF(G41:L41,"&lt;&gt;" &amp; "")&gt;0</formula>
    </cfRule>
    <cfRule type="expression" dxfId="460" priority="20">
      <formula>AND(COUNTIF(G41:L41,"&lt;&gt;" &amp; "")&gt;0,NOT(ISBLANK(E41)))</formula>
    </cfRule>
  </conditionalFormatting>
  <conditionalFormatting sqref="E44">
    <cfRule type="expression" dxfId="459" priority="3">
      <formula>COUNTIF(G44:L44,"&lt;&gt;" &amp; "")&gt;0</formula>
    </cfRule>
    <cfRule type="expression" dxfId="458" priority="4">
      <formula>AND(COUNTIF(G44:L44,"&lt;&gt;" &amp; "")&gt;0,NOT(ISBLANK(E44)))</formula>
    </cfRule>
  </conditionalFormatting>
  <dataValidations count="2">
    <dataValidation type="list" allowBlank="1" showInputMessage="1" showErrorMessage="1" sqref="C2 C41 C38 C35 C32 C29 C26 C23 C20 C17 C14 C11 C8 C5" xr:uid="{3388F152-880D-424B-977F-C94EFB23C917}">
      <formula1>"Proportion"</formula1>
    </dataValidation>
    <dataValidation type="list" allowBlank="1" showInputMessage="1" showErrorMessage="1" sqref="C44" xr:uid="{BEDBC531-1B65-4BD9-8DA1-B3830712494E}">
      <formula1>"Number"</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95E7-1F15-4AD1-8FC0-DE1C8AD942B2}">
  <sheetPr>
    <tabColor rgb="FF808080"/>
  </sheetPr>
  <dimension ref="A1:L11"/>
  <sheetViews>
    <sheetView tabSelected="1" workbookViewId="0">
      <selection activeCell="A16" sqref="A16"/>
    </sheetView>
  </sheetViews>
  <sheetFormatPr defaultRowHeight="14.5" x14ac:dyDescent="0.35"/>
  <cols>
    <col min="1" max="1" width="78" customWidth="1"/>
    <col min="2" max="2" width="53.1796875" customWidth="1"/>
  </cols>
  <sheetData>
    <row r="1" spans="1:12" x14ac:dyDescent="0.35">
      <c r="A1" s="1" t="s">
        <v>331</v>
      </c>
      <c r="B1" s="1" t="s">
        <v>28</v>
      </c>
      <c r="C1" s="1" t="s">
        <v>29</v>
      </c>
      <c r="D1" s="1" t="s">
        <v>30</v>
      </c>
      <c r="E1" s="1" t="s">
        <v>31</v>
      </c>
      <c r="F1" s="1"/>
      <c r="G1" s="1">
        <v>2020</v>
      </c>
      <c r="H1" s="1">
        <v>2021</v>
      </c>
      <c r="I1" s="1">
        <v>2022</v>
      </c>
      <c r="J1" s="1">
        <v>2023</v>
      </c>
      <c r="K1" s="1">
        <v>2024</v>
      </c>
      <c r="L1" s="1">
        <v>2025</v>
      </c>
    </row>
    <row r="2" spans="1:12" x14ac:dyDescent="0.35">
      <c r="A2" s="1" t="str">
        <f>'[3]Population Definitions'!$A$8</f>
        <v>mnut_hm</v>
      </c>
      <c r="B2" t="s">
        <v>32</v>
      </c>
      <c r="C2" t="s">
        <v>36</v>
      </c>
      <c r="D2" s="3"/>
      <c r="E2" s="3">
        <v>0</v>
      </c>
      <c r="F2" s="4" t="s">
        <v>34</v>
      </c>
      <c r="G2" s="3"/>
      <c r="H2" s="3"/>
      <c r="I2" s="3"/>
      <c r="J2" s="3"/>
      <c r="K2" s="3"/>
      <c r="L2" s="3"/>
    </row>
    <row r="4" spans="1:12" x14ac:dyDescent="0.35">
      <c r="A4" s="1" t="s">
        <v>332</v>
      </c>
      <c r="B4" s="1" t="s">
        <v>28</v>
      </c>
      <c r="C4" s="1" t="s">
        <v>29</v>
      </c>
      <c r="D4" s="1" t="s">
        <v>30</v>
      </c>
      <c r="E4" s="1" t="s">
        <v>31</v>
      </c>
      <c r="F4" s="1"/>
      <c r="G4" s="1">
        <v>2020</v>
      </c>
      <c r="H4" s="1">
        <v>2021</v>
      </c>
      <c r="I4" s="1">
        <v>2022</v>
      </c>
      <c r="J4" s="1">
        <v>2023</v>
      </c>
      <c r="K4" s="1">
        <v>2024</v>
      </c>
      <c r="L4" s="1">
        <v>2025</v>
      </c>
    </row>
    <row r="5" spans="1:12" x14ac:dyDescent="0.35">
      <c r="A5" s="1" t="str">
        <f>'[3]Population Definitions'!$A$8</f>
        <v>mnut_hm</v>
      </c>
      <c r="B5" t="s">
        <v>32</v>
      </c>
      <c r="C5" t="s">
        <v>36</v>
      </c>
      <c r="D5" s="3"/>
      <c r="E5" s="3">
        <v>0</v>
      </c>
      <c r="F5" s="4" t="s">
        <v>34</v>
      </c>
      <c r="G5" s="3"/>
      <c r="H5" s="3"/>
      <c r="I5" s="3"/>
      <c r="J5" s="3"/>
      <c r="K5" s="3"/>
      <c r="L5" s="3"/>
    </row>
    <row r="7" spans="1:12" x14ac:dyDescent="0.35">
      <c r="A7" s="1" t="s">
        <v>333</v>
      </c>
      <c r="B7" s="1" t="s">
        <v>28</v>
      </c>
      <c r="C7" s="1" t="s">
        <v>29</v>
      </c>
      <c r="D7" s="1" t="s">
        <v>30</v>
      </c>
      <c r="E7" s="1" t="s">
        <v>31</v>
      </c>
      <c r="F7" s="1"/>
      <c r="G7" s="1">
        <v>2020</v>
      </c>
      <c r="H7" s="1">
        <v>2021</v>
      </c>
      <c r="I7" s="1">
        <v>2022</v>
      </c>
      <c r="J7" s="1">
        <v>2023</v>
      </c>
      <c r="K7" s="1">
        <v>2024</v>
      </c>
      <c r="L7" s="1">
        <v>2025</v>
      </c>
    </row>
    <row r="8" spans="1:12" x14ac:dyDescent="0.35">
      <c r="A8" s="1" t="str">
        <f>'[3]Population Definitions'!$A$8</f>
        <v>mnut_hm</v>
      </c>
      <c r="B8" t="s">
        <v>32</v>
      </c>
      <c r="C8" t="s">
        <v>36</v>
      </c>
      <c r="D8" s="3"/>
      <c r="E8" s="3">
        <v>0</v>
      </c>
      <c r="F8" s="4" t="s">
        <v>34</v>
      </c>
      <c r="G8" s="3"/>
      <c r="H8" s="3"/>
      <c r="I8" s="3"/>
      <c r="J8" s="3"/>
      <c r="K8" s="3"/>
      <c r="L8" s="3"/>
    </row>
    <row r="10" spans="1:12" x14ac:dyDescent="0.35">
      <c r="A10" s="1" t="s">
        <v>334</v>
      </c>
      <c r="B10" s="1" t="s">
        <v>28</v>
      </c>
      <c r="C10" s="1" t="s">
        <v>29</v>
      </c>
      <c r="D10" s="1" t="s">
        <v>30</v>
      </c>
      <c r="E10" s="1" t="s">
        <v>31</v>
      </c>
      <c r="F10" s="1"/>
      <c r="G10" s="1">
        <v>2020</v>
      </c>
      <c r="H10" s="1">
        <v>2021</v>
      </c>
      <c r="I10" s="1">
        <v>2022</v>
      </c>
      <c r="J10" s="1">
        <v>2023</v>
      </c>
      <c r="K10" s="1">
        <v>2024</v>
      </c>
      <c r="L10" s="1">
        <v>2025</v>
      </c>
    </row>
    <row r="11" spans="1:12" x14ac:dyDescent="0.35">
      <c r="A11" s="1" t="str">
        <f>'[3]Population Definitions'!$A$8</f>
        <v>mnut_hm</v>
      </c>
      <c r="B11" t="s">
        <v>32</v>
      </c>
      <c r="C11" t="s">
        <v>36</v>
      </c>
      <c r="D11" s="3"/>
      <c r="E11" s="3">
        <v>0</v>
      </c>
      <c r="F11" s="4" t="s">
        <v>34</v>
      </c>
      <c r="G11" s="3"/>
      <c r="H11" s="3"/>
      <c r="I11" s="3"/>
      <c r="J11" s="3"/>
      <c r="K11" s="3"/>
      <c r="L11" s="3"/>
    </row>
  </sheetData>
  <conditionalFormatting sqref="E2">
    <cfRule type="expression" dxfId="457" priority="1">
      <formula>COUNTIF(G2:L2,"&lt;&gt;" &amp; "")&gt;0</formula>
    </cfRule>
    <cfRule type="expression" dxfId="456" priority="2">
      <formula>AND(COUNTIF(G2:L2,"&lt;&gt;" &amp; "")&gt;0,NOT(ISBLANK(E2)))</formula>
    </cfRule>
  </conditionalFormatting>
  <conditionalFormatting sqref="E5">
    <cfRule type="expression" dxfId="455" priority="3">
      <formula>COUNTIF(G5:L5,"&lt;&gt;" &amp; "")&gt;0</formula>
    </cfRule>
    <cfRule type="expression" dxfId="454" priority="4">
      <formula>AND(COUNTIF(G5:L5,"&lt;&gt;" &amp; "")&gt;0,NOT(ISBLANK(E5)))</formula>
    </cfRule>
  </conditionalFormatting>
  <conditionalFormatting sqref="E8">
    <cfRule type="expression" dxfId="453" priority="5">
      <formula>COUNTIF(G8:L8,"&lt;&gt;" &amp; "")&gt;0</formula>
    </cfRule>
    <cfRule type="expression" dxfId="452" priority="6">
      <formula>AND(COUNTIF(G8:L8,"&lt;&gt;" &amp; "")&gt;0,NOT(ISBLANK(E8)))</formula>
    </cfRule>
  </conditionalFormatting>
  <conditionalFormatting sqref="E11">
    <cfRule type="expression" dxfId="451" priority="7">
      <formula>COUNTIF(G11:L11,"&lt;&gt;" &amp; "")&gt;0</formula>
    </cfRule>
    <cfRule type="expression" dxfId="450" priority="8">
      <formula>AND(COUNTIF(G11:L11,"&lt;&gt;" &amp; "")&gt;0,NOT(ISBLANK(E11)))</formula>
    </cfRule>
  </conditionalFormatting>
  <dataValidations count="1">
    <dataValidation type="list" allowBlank="1" showInputMessage="1" showErrorMessage="1" sqref="C2 C11 C8 C5" xr:uid="{FD6F77F6-D9CE-4D1D-8B89-E7C66387AAA7}">
      <formula1>"Proportion"</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8080"/>
  </sheetPr>
  <dimension ref="A1"/>
  <sheetViews>
    <sheetView workbookViewId="0">
      <selection activeCell="H16" sqref="H16"/>
    </sheetView>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08080"/>
  </sheetPr>
  <dimension ref="A1:N809"/>
  <sheetViews>
    <sheetView topLeftCell="A796" workbookViewId="0">
      <selection activeCell="D814" sqref="D814"/>
    </sheetView>
  </sheetViews>
  <sheetFormatPr defaultRowHeight="14.5" x14ac:dyDescent="0.35"/>
  <cols>
    <col min="1" max="2" width="42.453125" customWidth="1"/>
    <col min="3" max="3" width="23.7265625" customWidth="1"/>
    <col min="4" max="4" width="30.26953125" customWidth="1"/>
    <col min="5" max="5" width="7.26953125" customWidth="1"/>
    <col min="6" max="6" width="13.81640625" customWidth="1"/>
    <col min="7" max="7" width="10.54296875" customWidth="1"/>
    <col min="8" max="8" width="3.81640625" customWidth="1"/>
    <col min="9" max="14" width="9.453125" customWidth="1"/>
  </cols>
  <sheetData>
    <row r="1" spans="1:14" x14ac:dyDescent="0.35">
      <c r="A1" s="1" t="s">
        <v>0</v>
      </c>
      <c r="B1" s="1" t="s">
        <v>1</v>
      </c>
      <c r="C1" s="1" t="s">
        <v>146</v>
      </c>
      <c r="D1" s="1" t="s">
        <v>147</v>
      </c>
    </row>
    <row r="2" spans="1:14" x14ac:dyDescent="0.35">
      <c r="A2" t="s">
        <v>267</v>
      </c>
      <c r="B2" t="s">
        <v>267</v>
      </c>
      <c r="C2" t="s">
        <v>3</v>
      </c>
      <c r="D2" t="s">
        <v>3</v>
      </c>
    </row>
    <row r="4" spans="1:14" x14ac:dyDescent="0.35">
      <c r="B4" s="1" t="str">
        <f>'[8]Population Definitions'!$A$2</f>
        <v>anc_hm</v>
      </c>
    </row>
    <row r="5" spans="1:14" x14ac:dyDescent="0.35">
      <c r="A5" s="1" t="str">
        <f>'[8]Population Definitions'!$A$2</f>
        <v>anc_hm</v>
      </c>
      <c r="B5" s="5" t="s">
        <v>148</v>
      </c>
    </row>
    <row r="7" spans="1:14" x14ac:dyDescent="0.35">
      <c r="A7" s="1" t="s">
        <v>149</v>
      </c>
      <c r="B7" s="1"/>
      <c r="C7" s="1" t="s">
        <v>150</v>
      </c>
      <c r="D7" s="1" t="s">
        <v>28</v>
      </c>
      <c r="E7" s="1" t="s">
        <v>29</v>
      </c>
      <c r="F7" s="1" t="s">
        <v>30</v>
      </c>
      <c r="G7" s="1" t="s">
        <v>31</v>
      </c>
      <c r="H7" s="1"/>
      <c r="I7" s="1">
        <v>2020</v>
      </c>
      <c r="J7" s="1">
        <v>2021</v>
      </c>
      <c r="K7" s="1">
        <v>2022</v>
      </c>
      <c r="L7" s="1">
        <v>2023</v>
      </c>
      <c r="M7" s="1">
        <v>2024</v>
      </c>
      <c r="N7" s="1">
        <v>2025</v>
      </c>
    </row>
    <row r="8" spans="1:14" x14ac:dyDescent="0.35">
      <c r="A8" s="1" t="str">
        <f>IF($B$5="Y",'[8]Population Definitions'!$A$2,"...")</f>
        <v>anc_hm</v>
      </c>
      <c r="B8" s="4" t="str">
        <f>IF($B$5="Y","---&gt;","...")</f>
        <v>---&gt;</v>
      </c>
      <c r="C8" s="1" t="str">
        <f>IF($B$5="Y",'[8]Population Definitions'!$A$2,"...")</f>
        <v>anc_hm</v>
      </c>
      <c r="D8" t="s">
        <v>32</v>
      </c>
      <c r="E8" s="3" t="s">
        <v>120</v>
      </c>
      <c r="F8" s="3"/>
      <c r="G8" s="3">
        <v>1</v>
      </c>
      <c r="H8" s="4" t="str">
        <f>IF($B$5="Y","OR","...")</f>
        <v>OR</v>
      </c>
      <c r="I8" s="3"/>
      <c r="J8" s="3"/>
      <c r="K8" s="3"/>
      <c r="L8" s="3"/>
      <c r="M8" s="3"/>
      <c r="N8" s="3"/>
    </row>
    <row r="10" spans="1:14" x14ac:dyDescent="0.35">
      <c r="A10" s="1" t="s">
        <v>0</v>
      </c>
      <c r="B10" s="1" t="s">
        <v>1</v>
      </c>
      <c r="C10" s="1" t="s">
        <v>146</v>
      </c>
      <c r="D10" s="1" t="s">
        <v>147</v>
      </c>
    </row>
    <row r="11" spans="1:14" x14ac:dyDescent="0.35">
      <c r="A11" t="s">
        <v>268</v>
      </c>
      <c r="B11" t="s">
        <v>268</v>
      </c>
      <c r="C11" t="s">
        <v>9</v>
      </c>
      <c r="D11" t="s">
        <v>3</v>
      </c>
    </row>
    <row r="13" spans="1:14" x14ac:dyDescent="0.35">
      <c r="B13" s="1" t="str">
        <f>'[8]Population Definitions'!$A$2</f>
        <v>anc_hm</v>
      </c>
    </row>
    <row r="14" spans="1:14" x14ac:dyDescent="0.35">
      <c r="A14" s="1" t="str">
        <f>'[8]Population Definitions'!$A$5</f>
        <v>hm_hm</v>
      </c>
      <c r="B14" s="5" t="s">
        <v>148</v>
      </c>
    </row>
    <row r="16" spans="1:14" x14ac:dyDescent="0.35">
      <c r="A16" s="1" t="s">
        <v>149</v>
      </c>
      <c r="B16" s="1"/>
      <c r="C16" s="1" t="s">
        <v>150</v>
      </c>
      <c r="D16" s="1" t="s">
        <v>28</v>
      </c>
      <c r="E16" s="1" t="s">
        <v>29</v>
      </c>
      <c r="F16" s="1" t="s">
        <v>30</v>
      </c>
      <c r="G16" s="1" t="s">
        <v>31</v>
      </c>
      <c r="H16" s="1"/>
      <c r="I16" s="1">
        <v>2020</v>
      </c>
      <c r="J16" s="1">
        <v>2021</v>
      </c>
      <c r="K16" s="1">
        <v>2022</v>
      </c>
      <c r="L16" s="1">
        <v>2023</v>
      </c>
      <c r="M16" s="1">
        <v>2024</v>
      </c>
      <c r="N16" s="1">
        <v>2025</v>
      </c>
    </row>
    <row r="17" spans="1:14" x14ac:dyDescent="0.35">
      <c r="A17" s="1" t="str">
        <f>IF($B$14="Y",'[8]Population Definitions'!$A$5,"...")</f>
        <v>hm_hm</v>
      </c>
      <c r="B17" s="4" t="str">
        <f>IF($B$14="Y","---&gt;","...")</f>
        <v>---&gt;</v>
      </c>
      <c r="C17" s="1" t="str">
        <f>IF($B$14="Y",'[8]Population Definitions'!$A$2,"...")</f>
        <v>anc_hm</v>
      </c>
      <c r="D17" t="s">
        <v>32</v>
      </c>
      <c r="E17" s="3" t="s">
        <v>120</v>
      </c>
      <c r="F17" s="3"/>
      <c r="G17" s="3">
        <v>1</v>
      </c>
      <c r="H17" s="4" t="str">
        <f>IF($B$14="Y","OR","...")</f>
        <v>OR</v>
      </c>
      <c r="I17" s="3"/>
      <c r="J17" s="3"/>
      <c r="K17" s="3"/>
      <c r="L17" s="3"/>
      <c r="M17" s="3"/>
      <c r="N17" s="3"/>
    </row>
    <row r="19" spans="1:14" x14ac:dyDescent="0.35">
      <c r="A19" s="1" t="s">
        <v>0</v>
      </c>
      <c r="B19" s="1" t="s">
        <v>1</v>
      </c>
      <c r="C19" s="1" t="s">
        <v>146</v>
      </c>
      <c r="D19" s="1" t="s">
        <v>147</v>
      </c>
    </row>
    <row r="20" spans="1:14" x14ac:dyDescent="0.35">
      <c r="A20" t="s">
        <v>269</v>
      </c>
      <c r="B20" t="s">
        <v>269</v>
      </c>
      <c r="C20" t="s">
        <v>13</v>
      </c>
      <c r="D20" t="s">
        <v>3</v>
      </c>
    </row>
    <row r="22" spans="1:14" x14ac:dyDescent="0.35">
      <c r="B22" s="1" t="str">
        <f>'[8]Population Definitions'!$A$2</f>
        <v>anc_hm</v>
      </c>
    </row>
    <row r="23" spans="1:14" x14ac:dyDescent="0.35">
      <c r="A23" s="1" t="str">
        <f>'[8]Population Definitions'!$A$9</f>
        <v>ol_hm</v>
      </c>
      <c r="B23" s="5" t="s">
        <v>148</v>
      </c>
    </row>
    <row r="25" spans="1:14" x14ac:dyDescent="0.35">
      <c r="A25" s="1" t="s">
        <v>149</v>
      </c>
      <c r="B25" s="1"/>
      <c r="C25" s="1" t="s">
        <v>150</v>
      </c>
      <c r="D25" s="1" t="s">
        <v>28</v>
      </c>
      <c r="E25" s="1" t="s">
        <v>29</v>
      </c>
      <c r="F25" s="1" t="s">
        <v>30</v>
      </c>
      <c r="G25" s="1" t="s">
        <v>31</v>
      </c>
      <c r="H25" s="1"/>
      <c r="I25" s="1">
        <v>2020</v>
      </c>
      <c r="J25" s="1">
        <v>2021</v>
      </c>
      <c r="K25" s="1">
        <v>2022</v>
      </c>
      <c r="L25" s="1">
        <v>2023</v>
      </c>
      <c r="M25" s="1">
        <v>2024</v>
      </c>
      <c r="N25" s="1">
        <v>2025</v>
      </c>
    </row>
    <row r="26" spans="1:14" x14ac:dyDescent="0.35">
      <c r="A26" s="1" t="str">
        <f>IF($B$23="Y",'[8]Population Definitions'!$A$9,"...")</f>
        <v>ol_hm</v>
      </c>
      <c r="B26" s="4" t="str">
        <f>IF($B$23="Y","---&gt;","...")</f>
        <v>---&gt;</v>
      </c>
      <c r="C26" s="1" t="str">
        <f>IF($B$23="Y",'[8]Population Definitions'!$A$2,"...")</f>
        <v>anc_hm</v>
      </c>
      <c r="D26" t="s">
        <v>32</v>
      </c>
      <c r="E26" s="3" t="s">
        <v>120</v>
      </c>
      <c r="F26" s="3"/>
      <c r="G26" s="3">
        <v>1</v>
      </c>
      <c r="H26" s="4" t="str">
        <f>IF($B$23="Y","OR","...")</f>
        <v>OR</v>
      </c>
      <c r="I26" s="3"/>
      <c r="J26" s="3"/>
      <c r="K26" s="3"/>
      <c r="L26" s="3"/>
      <c r="M26" s="3"/>
      <c r="N26" s="3"/>
    </row>
    <row r="28" spans="1:14" x14ac:dyDescent="0.35">
      <c r="A28" s="1" t="s">
        <v>0</v>
      </c>
      <c r="B28" s="1" t="s">
        <v>1</v>
      </c>
      <c r="C28" s="1" t="s">
        <v>146</v>
      </c>
      <c r="D28" s="1" t="s">
        <v>147</v>
      </c>
    </row>
    <row r="29" spans="1:14" x14ac:dyDescent="0.35">
      <c r="A29" t="s">
        <v>270</v>
      </c>
      <c r="B29" t="s">
        <v>270</v>
      </c>
      <c r="C29" t="s">
        <v>19</v>
      </c>
      <c r="D29" t="s">
        <v>3</v>
      </c>
    </row>
    <row r="31" spans="1:14" x14ac:dyDescent="0.35">
      <c r="B31" s="1" t="str">
        <f>'[8]Population Definitions'!$A$2</f>
        <v>anc_hm</v>
      </c>
    </row>
    <row r="32" spans="1:14" x14ac:dyDescent="0.35">
      <c r="A32" s="1" t="str">
        <f>'[8]Population Definitions'!$A$12</f>
        <v>pt_hm</v>
      </c>
      <c r="B32" s="5" t="s">
        <v>148</v>
      </c>
    </row>
    <row r="34" spans="1:14" x14ac:dyDescent="0.35">
      <c r="A34" s="1" t="s">
        <v>149</v>
      </c>
      <c r="B34" s="1"/>
      <c r="C34" s="1" t="s">
        <v>150</v>
      </c>
      <c r="D34" s="1" t="s">
        <v>28</v>
      </c>
      <c r="E34" s="1" t="s">
        <v>29</v>
      </c>
      <c r="F34" s="1" t="s">
        <v>30</v>
      </c>
      <c r="G34" s="1" t="s">
        <v>31</v>
      </c>
      <c r="H34" s="1"/>
      <c r="I34" s="1">
        <v>2020</v>
      </c>
      <c r="J34" s="1">
        <v>2021</v>
      </c>
      <c r="K34" s="1">
        <v>2022</v>
      </c>
      <c r="L34" s="1">
        <v>2023</v>
      </c>
      <c r="M34" s="1">
        <v>2024</v>
      </c>
      <c r="N34" s="1">
        <v>2025</v>
      </c>
    </row>
    <row r="35" spans="1:14" x14ac:dyDescent="0.35">
      <c r="A35" s="1" t="str">
        <f>IF($B$32="Y",'[8]Population Definitions'!$A$12,"...")</f>
        <v>pt_hm</v>
      </c>
      <c r="B35" s="4" t="str">
        <f>IF($B$32="Y","---&gt;","...")</f>
        <v>---&gt;</v>
      </c>
      <c r="C35" s="1" t="str">
        <f>IF($B$32="Y",'[8]Population Definitions'!$A$2,"...")</f>
        <v>anc_hm</v>
      </c>
      <c r="D35" t="s">
        <v>32</v>
      </c>
      <c r="E35" s="3" t="s">
        <v>120</v>
      </c>
      <c r="F35" s="3"/>
      <c r="G35" s="3">
        <v>1</v>
      </c>
      <c r="H35" s="4" t="str">
        <f>IF($B$32="Y","OR","...")</f>
        <v>OR</v>
      </c>
      <c r="I35" s="3"/>
      <c r="J35" s="3"/>
      <c r="K35" s="3"/>
      <c r="L35" s="3"/>
      <c r="M35" s="3"/>
      <c r="N35" s="3"/>
    </row>
    <row r="37" spans="1:14" x14ac:dyDescent="0.35">
      <c r="A37" s="1" t="s">
        <v>0</v>
      </c>
      <c r="B37" s="1" t="s">
        <v>1</v>
      </c>
      <c r="C37" s="1" t="s">
        <v>146</v>
      </c>
      <c r="D37" s="1" t="s">
        <v>147</v>
      </c>
    </row>
    <row r="38" spans="1:14" x14ac:dyDescent="0.35">
      <c r="A38" t="s">
        <v>277</v>
      </c>
      <c r="B38" t="s">
        <v>277</v>
      </c>
      <c r="C38" t="s">
        <v>19</v>
      </c>
      <c r="D38" t="s">
        <v>5</v>
      </c>
    </row>
    <row r="40" spans="1:14" x14ac:dyDescent="0.35">
      <c r="B40" s="1" t="str">
        <f>'[8]Population Definitions'!$A$3</f>
        <v>asx_hm</v>
      </c>
    </row>
    <row r="41" spans="1:14" x14ac:dyDescent="0.35">
      <c r="A41" s="1" t="str">
        <f>'[8]Population Definitions'!$A$12</f>
        <v>pt_hm</v>
      </c>
      <c r="B41" s="5" t="s">
        <v>148</v>
      </c>
    </row>
    <row r="43" spans="1:14" x14ac:dyDescent="0.35">
      <c r="A43" s="1" t="s">
        <v>149</v>
      </c>
      <c r="B43" s="1"/>
      <c r="C43" s="1" t="s">
        <v>150</v>
      </c>
      <c r="D43" s="1" t="s">
        <v>28</v>
      </c>
      <c r="E43" s="1" t="s">
        <v>29</v>
      </c>
      <c r="F43" s="1" t="s">
        <v>30</v>
      </c>
      <c r="G43" s="1" t="s">
        <v>31</v>
      </c>
      <c r="H43" s="1"/>
      <c r="I43" s="1">
        <v>2020</v>
      </c>
      <c r="J43" s="1">
        <v>2021</v>
      </c>
      <c r="K43" s="1">
        <v>2022</v>
      </c>
      <c r="L43" s="1">
        <v>2023</v>
      </c>
      <c r="M43" s="1">
        <v>2024</v>
      </c>
      <c r="N43" s="1">
        <v>2025</v>
      </c>
    </row>
    <row r="44" spans="1:14" x14ac:dyDescent="0.35">
      <c r="A44" s="1" t="str">
        <f>IF($B$41="Y",'[8]Population Definitions'!$A$12,"...")</f>
        <v>pt_hm</v>
      </c>
      <c r="B44" s="4" t="str">
        <f>IF($B$41="Y","---&gt;","...")</f>
        <v>---&gt;</v>
      </c>
      <c r="C44" s="1" t="str">
        <f>IF($B$41="Y",'[8]Population Definitions'!$A$3,"...")</f>
        <v>asx_hm</v>
      </c>
      <c r="D44" t="s">
        <v>32</v>
      </c>
      <c r="E44" s="3" t="s">
        <v>120</v>
      </c>
      <c r="F44" s="3"/>
      <c r="G44" s="3">
        <v>1</v>
      </c>
      <c r="H44" s="4" t="str">
        <f>IF($B$41="Y","OR","...")</f>
        <v>OR</v>
      </c>
      <c r="I44" s="3"/>
      <c r="J44" s="3"/>
      <c r="K44" s="3"/>
      <c r="L44" s="3"/>
      <c r="M44" s="3"/>
      <c r="N44" s="3"/>
    </row>
    <row r="46" spans="1:14" x14ac:dyDescent="0.35">
      <c r="A46" s="1" t="s">
        <v>0</v>
      </c>
      <c r="B46" s="1" t="s">
        <v>1</v>
      </c>
      <c r="C46" s="1" t="s">
        <v>146</v>
      </c>
      <c r="D46" s="1" t="s">
        <v>147</v>
      </c>
    </row>
    <row r="47" spans="1:14" x14ac:dyDescent="0.35">
      <c r="A47" t="s">
        <v>238</v>
      </c>
      <c r="B47" t="s">
        <v>238</v>
      </c>
      <c r="C47" t="s">
        <v>3</v>
      </c>
      <c r="D47" t="s">
        <v>5</v>
      </c>
    </row>
    <row r="49" spans="1:14" x14ac:dyDescent="0.35">
      <c r="B49" s="1" t="str">
        <f>'[8]Population Definitions'!$A$3</f>
        <v>asx_hm</v>
      </c>
    </row>
    <row r="50" spans="1:14" x14ac:dyDescent="0.35">
      <c r="A50" s="1" t="str">
        <f>'[8]Population Definitions'!$A$2</f>
        <v>anc_hm</v>
      </c>
      <c r="B50" s="5" t="s">
        <v>148</v>
      </c>
    </row>
    <row r="52" spans="1:14" x14ac:dyDescent="0.35">
      <c r="A52" s="1" t="s">
        <v>149</v>
      </c>
      <c r="B52" s="1"/>
      <c r="C52" s="1" t="s">
        <v>150</v>
      </c>
      <c r="D52" s="1" t="s">
        <v>28</v>
      </c>
      <c r="E52" s="1" t="s">
        <v>29</v>
      </c>
      <c r="F52" s="1" t="s">
        <v>30</v>
      </c>
      <c r="G52" s="1" t="s">
        <v>31</v>
      </c>
      <c r="H52" s="1"/>
      <c r="I52" s="1">
        <v>2020</v>
      </c>
      <c r="J52" s="1">
        <v>2021</v>
      </c>
      <c r="K52" s="1">
        <v>2022</v>
      </c>
      <c r="L52" s="1">
        <v>2023</v>
      </c>
      <c r="M52" s="1">
        <v>2024</v>
      </c>
      <c r="N52" s="1">
        <v>2025</v>
      </c>
    </row>
    <row r="53" spans="1:14" x14ac:dyDescent="0.35">
      <c r="A53" s="1" t="str">
        <f>IF($B$50="Y",'[8]Population Definitions'!$A$2,"...")</f>
        <v>anc_hm</v>
      </c>
      <c r="B53" s="4" t="str">
        <f>IF($B$50="Y","---&gt;","...")</f>
        <v>---&gt;</v>
      </c>
      <c r="C53" s="1" t="str">
        <f>IF($B$50="Y",'[8]Population Definitions'!$A$3,"...")</f>
        <v>asx_hm</v>
      </c>
      <c r="D53" t="s">
        <v>32</v>
      </c>
      <c r="E53" s="3" t="s">
        <v>120</v>
      </c>
      <c r="F53" s="3"/>
      <c r="G53" s="3">
        <v>1</v>
      </c>
      <c r="H53" s="4" t="str">
        <f>IF($B$50="Y","OR","...")</f>
        <v>OR</v>
      </c>
      <c r="I53" s="3"/>
      <c r="J53" s="3"/>
      <c r="K53" s="3"/>
      <c r="L53" s="3"/>
      <c r="M53" s="3"/>
      <c r="N53" s="3"/>
    </row>
    <row r="55" spans="1:14" x14ac:dyDescent="0.35">
      <c r="A55" s="1" t="s">
        <v>0</v>
      </c>
      <c r="B55" s="1" t="s">
        <v>1</v>
      </c>
      <c r="C55" s="1" t="s">
        <v>146</v>
      </c>
      <c r="D55" s="1" t="s">
        <v>147</v>
      </c>
    </row>
    <row r="56" spans="1:14" x14ac:dyDescent="0.35">
      <c r="A56" t="s">
        <v>339</v>
      </c>
      <c r="B56" t="s">
        <v>339</v>
      </c>
      <c r="C56" t="s">
        <v>337</v>
      </c>
      <c r="D56" t="s">
        <v>5</v>
      </c>
    </row>
    <row r="58" spans="1:14" x14ac:dyDescent="0.35">
      <c r="B58" s="1" t="str">
        <f>'[8]Population Definitions'!$A$3</f>
        <v>asx_hm</v>
      </c>
    </row>
    <row r="59" spans="1:14" x14ac:dyDescent="0.35">
      <c r="A59" s="1" t="str">
        <f>'[8]Population Definitions'!$A$8</f>
        <v>mnut_hm</v>
      </c>
      <c r="B59" s="5" t="s">
        <v>148</v>
      </c>
    </row>
    <row r="61" spans="1:14" x14ac:dyDescent="0.35">
      <c r="A61" s="1" t="s">
        <v>149</v>
      </c>
      <c r="B61" s="1"/>
      <c r="C61" s="1" t="s">
        <v>150</v>
      </c>
      <c r="D61" s="1" t="s">
        <v>28</v>
      </c>
      <c r="E61" s="1" t="s">
        <v>29</v>
      </c>
      <c r="F61" s="1" t="s">
        <v>30</v>
      </c>
      <c r="G61" s="1" t="s">
        <v>31</v>
      </c>
      <c r="H61" s="1"/>
      <c r="I61" s="1">
        <v>2020</v>
      </c>
      <c r="J61" s="1">
        <v>2021</v>
      </c>
      <c r="K61" s="1">
        <v>2022</v>
      </c>
      <c r="L61" s="1">
        <v>2023</v>
      </c>
      <c r="M61" s="1">
        <v>2024</v>
      </c>
      <c r="N61" s="1">
        <v>2025</v>
      </c>
    </row>
    <row r="62" spans="1:14" x14ac:dyDescent="0.35">
      <c r="A62" s="1" t="str">
        <f>IF($B$59="Y",'[8]Population Definitions'!$A$8,"...")</f>
        <v>mnut_hm</v>
      </c>
      <c r="B62" s="4" t="str">
        <f>IF($B$59="Y","---&gt;","...")</f>
        <v>---&gt;</v>
      </c>
      <c r="C62" s="1" t="str">
        <f>IF($B$59="Y",'[8]Population Definitions'!$A$3,"...")</f>
        <v>asx_hm</v>
      </c>
      <c r="D62" t="s">
        <v>32</v>
      </c>
      <c r="E62" s="3" t="s">
        <v>120</v>
      </c>
      <c r="F62" s="3"/>
      <c r="G62" s="3">
        <v>1</v>
      </c>
      <c r="H62" s="4" t="str">
        <f>IF($B$59="Y","OR","...")</f>
        <v>OR</v>
      </c>
      <c r="I62" s="3"/>
      <c r="J62" s="3"/>
      <c r="K62" s="3"/>
      <c r="L62" s="3"/>
      <c r="M62" s="3"/>
      <c r="N62" s="3"/>
    </row>
    <row r="64" spans="1:14" x14ac:dyDescent="0.35">
      <c r="A64" s="1" t="s">
        <v>0</v>
      </c>
      <c r="B64" s="1" t="s">
        <v>1</v>
      </c>
      <c r="C64" s="1" t="s">
        <v>146</v>
      </c>
      <c r="D64" s="1" t="s">
        <v>147</v>
      </c>
    </row>
    <row r="65" spans="1:14" x14ac:dyDescent="0.35">
      <c r="A65" t="s">
        <v>151</v>
      </c>
      <c r="B65" t="s">
        <v>151</v>
      </c>
      <c r="C65" t="s">
        <v>11</v>
      </c>
      <c r="D65" t="s">
        <v>5</v>
      </c>
    </row>
    <row r="67" spans="1:14" x14ac:dyDescent="0.35">
      <c r="B67" s="1" t="str">
        <f>'[8]Population Definitions'!$A$3</f>
        <v>asx_hm</v>
      </c>
    </row>
    <row r="68" spans="1:14" x14ac:dyDescent="0.35">
      <c r="A68" s="1" t="str">
        <f>'[8]Population Definitions'!$A$6</f>
        <v>msep_hm</v>
      </c>
      <c r="B68" s="5" t="s">
        <v>148</v>
      </c>
    </row>
    <row r="70" spans="1:14" x14ac:dyDescent="0.35">
      <c r="A70" s="1" t="s">
        <v>149</v>
      </c>
      <c r="B70" s="1"/>
      <c r="C70" s="1" t="s">
        <v>150</v>
      </c>
      <c r="D70" s="1" t="s">
        <v>28</v>
      </c>
      <c r="E70" s="1" t="s">
        <v>29</v>
      </c>
      <c r="F70" s="1" t="s">
        <v>30</v>
      </c>
      <c r="G70" s="1" t="s">
        <v>31</v>
      </c>
      <c r="H70" s="1"/>
      <c r="I70" s="1">
        <v>2020</v>
      </c>
      <c r="J70" s="1">
        <v>2021</v>
      </c>
      <c r="K70" s="1">
        <v>2022</v>
      </c>
      <c r="L70" s="1">
        <v>2023</v>
      </c>
      <c r="M70" s="1">
        <v>2024</v>
      </c>
      <c r="N70" s="1">
        <v>2025</v>
      </c>
    </row>
    <row r="71" spans="1:14" x14ac:dyDescent="0.35">
      <c r="A71" s="1" t="str">
        <f>IF($B$68="Y",'[8]Population Definitions'!$A$6,"...")</f>
        <v>msep_hm</v>
      </c>
      <c r="B71" s="4" t="str">
        <f>IF($B$68="Y","---&gt;","...")</f>
        <v>---&gt;</v>
      </c>
      <c r="C71" s="1" t="str">
        <f>IF($B$68="Y",'[8]Population Definitions'!$A$3,"...")</f>
        <v>asx_hm</v>
      </c>
      <c r="D71" t="s">
        <v>32</v>
      </c>
      <c r="E71" s="3" t="s">
        <v>120</v>
      </c>
      <c r="F71" s="3"/>
      <c r="G71" s="3">
        <v>1</v>
      </c>
      <c r="H71" s="4" t="str">
        <f>IF($B$68="Y","OR","...")</f>
        <v>OR</v>
      </c>
      <c r="I71" s="3"/>
      <c r="J71" s="3"/>
      <c r="K71" s="3"/>
      <c r="L71" s="3"/>
      <c r="M71" s="3"/>
      <c r="N71" s="3"/>
    </row>
    <row r="73" spans="1:14" x14ac:dyDescent="0.35">
      <c r="A73" s="1" t="s">
        <v>0</v>
      </c>
      <c r="B73" s="1" t="s">
        <v>1</v>
      </c>
      <c r="C73" s="1" t="s">
        <v>146</v>
      </c>
      <c r="D73" s="1" t="s">
        <v>147</v>
      </c>
    </row>
    <row r="74" spans="1:14" x14ac:dyDescent="0.35">
      <c r="A74" t="s">
        <v>145</v>
      </c>
      <c r="B74" t="s">
        <v>145</v>
      </c>
      <c r="C74" t="s">
        <v>13</v>
      </c>
      <c r="D74" t="s">
        <v>5</v>
      </c>
    </row>
    <row r="76" spans="1:14" x14ac:dyDescent="0.35">
      <c r="B76" s="1" t="str">
        <f>'[8]Population Definitions'!$A$3</f>
        <v>asx_hm</v>
      </c>
    </row>
    <row r="77" spans="1:14" x14ac:dyDescent="0.35">
      <c r="A77" s="1" t="str">
        <f>'[8]Population Definitions'!$A$9</f>
        <v>ol_hm</v>
      </c>
      <c r="B77" s="5" t="s">
        <v>148</v>
      </c>
    </row>
    <row r="79" spans="1:14" x14ac:dyDescent="0.35">
      <c r="A79" s="1" t="s">
        <v>149</v>
      </c>
      <c r="B79" s="1"/>
      <c r="C79" s="1" t="s">
        <v>150</v>
      </c>
      <c r="D79" s="1" t="s">
        <v>28</v>
      </c>
      <c r="E79" s="1" t="s">
        <v>29</v>
      </c>
      <c r="F79" s="1" t="s">
        <v>30</v>
      </c>
      <c r="G79" s="1" t="s">
        <v>31</v>
      </c>
      <c r="H79" s="1"/>
      <c r="I79" s="1">
        <v>2020</v>
      </c>
      <c r="J79" s="1">
        <v>2021</v>
      </c>
      <c r="K79" s="1">
        <v>2022</v>
      </c>
      <c r="L79" s="1">
        <v>2023</v>
      </c>
      <c r="M79" s="1">
        <v>2024</v>
      </c>
      <c r="N79" s="1">
        <v>2025</v>
      </c>
    </row>
    <row r="80" spans="1:14" x14ac:dyDescent="0.35">
      <c r="A80" s="1" t="str">
        <f>IF($B$77="Y",'[8]Population Definitions'!$A$9,"...")</f>
        <v>ol_hm</v>
      </c>
      <c r="B80" s="4" t="str">
        <f>IF($B$77="Y","---&gt;","...")</f>
        <v>---&gt;</v>
      </c>
      <c r="C80" s="1" t="str">
        <f>IF($B$77="Y",'[8]Population Definitions'!$A$3,"...")</f>
        <v>asx_hm</v>
      </c>
      <c r="D80" t="s">
        <v>32</v>
      </c>
      <c r="E80" s="3" t="s">
        <v>120</v>
      </c>
      <c r="F80" s="3"/>
      <c r="G80" s="3">
        <v>1</v>
      </c>
      <c r="H80" s="4" t="str">
        <f>IF($B$77="Y","OR","...")</f>
        <v>OR</v>
      </c>
      <c r="I80" s="3"/>
      <c r="J80" s="3"/>
      <c r="K80" s="3"/>
      <c r="L80" s="3"/>
      <c r="M80" s="3"/>
      <c r="N80" s="3"/>
    </row>
    <row r="82" spans="1:14" x14ac:dyDescent="0.35">
      <c r="A82" s="1" t="s">
        <v>0</v>
      </c>
      <c r="B82" s="1" t="s">
        <v>1</v>
      </c>
      <c r="C82" s="1" t="s">
        <v>146</v>
      </c>
      <c r="D82" s="1" t="s">
        <v>147</v>
      </c>
    </row>
    <row r="83" spans="1:14" x14ac:dyDescent="0.35">
      <c r="A83" t="s">
        <v>340</v>
      </c>
      <c r="B83" t="s">
        <v>340</v>
      </c>
      <c r="C83" t="s">
        <v>335</v>
      </c>
      <c r="D83" t="s">
        <v>5</v>
      </c>
    </row>
    <row r="85" spans="1:14" x14ac:dyDescent="0.35">
      <c r="B85" s="1" t="str">
        <f>'[8]Population Definitions'!$A$3</f>
        <v>asx_hm</v>
      </c>
    </row>
    <row r="86" spans="1:14" x14ac:dyDescent="0.35">
      <c r="A86" s="1" t="str">
        <f>'[8]Population Definitions'!$A$7</f>
        <v>preecl_hm</v>
      </c>
      <c r="B86" s="5" t="s">
        <v>148</v>
      </c>
    </row>
    <row r="88" spans="1:14" x14ac:dyDescent="0.35">
      <c r="A88" s="1" t="s">
        <v>149</v>
      </c>
      <c r="B88" s="1"/>
      <c r="C88" s="1" t="s">
        <v>150</v>
      </c>
      <c r="D88" s="1" t="s">
        <v>28</v>
      </c>
      <c r="E88" s="1" t="s">
        <v>29</v>
      </c>
      <c r="F88" s="1" t="s">
        <v>30</v>
      </c>
      <c r="G88" s="1" t="s">
        <v>31</v>
      </c>
      <c r="H88" s="1"/>
      <c r="I88" s="1">
        <v>2020</v>
      </c>
      <c r="J88" s="1">
        <v>2021</v>
      </c>
      <c r="K88" s="1">
        <v>2022</v>
      </c>
      <c r="L88" s="1">
        <v>2023</v>
      </c>
      <c r="M88" s="1">
        <v>2024</v>
      </c>
      <c r="N88" s="1">
        <v>2025</v>
      </c>
    </row>
    <row r="89" spans="1:14" x14ac:dyDescent="0.35">
      <c r="A89" s="1" t="str">
        <f>IF($B$86="Y",'[8]Population Definitions'!$A$7,"...")</f>
        <v>preecl_hm</v>
      </c>
      <c r="B89" s="4" t="str">
        <f>IF($B$86="Y","---&gt;","...")</f>
        <v>---&gt;</v>
      </c>
      <c r="C89" s="1" t="str">
        <f>IF($B$86="Y",'[8]Population Definitions'!$A$3,"...")</f>
        <v>asx_hm</v>
      </c>
      <c r="D89" t="s">
        <v>32</v>
      </c>
      <c r="E89" s="3" t="s">
        <v>120</v>
      </c>
      <c r="F89" s="3"/>
      <c r="G89" s="3">
        <v>1</v>
      </c>
      <c r="H89" s="4" t="str">
        <f>IF($B$86="Y","OR","...")</f>
        <v>OR</v>
      </c>
      <c r="I89" s="3"/>
      <c r="J89" s="3"/>
      <c r="K89" s="3"/>
      <c r="L89" s="3"/>
      <c r="M89" s="3"/>
      <c r="N89" s="3"/>
    </row>
    <row r="91" spans="1:14" x14ac:dyDescent="0.35">
      <c r="A91" s="1" t="s">
        <v>0</v>
      </c>
      <c r="B91" s="1" t="s">
        <v>1</v>
      </c>
      <c r="C91" s="1" t="s">
        <v>146</v>
      </c>
      <c r="D91" s="1" t="s">
        <v>147</v>
      </c>
    </row>
    <row r="92" spans="1:14" x14ac:dyDescent="0.35">
      <c r="A92" t="s">
        <v>246</v>
      </c>
      <c r="B92" t="s">
        <v>246</v>
      </c>
      <c r="C92" t="s">
        <v>5</v>
      </c>
      <c r="D92" t="s">
        <v>5</v>
      </c>
    </row>
    <row r="94" spans="1:14" x14ac:dyDescent="0.35">
      <c r="B94" s="1" t="str">
        <f>'[8]Population Definitions'!$A$3</f>
        <v>asx_hm</v>
      </c>
    </row>
    <row r="95" spans="1:14" x14ac:dyDescent="0.35">
      <c r="A95" s="1" t="str">
        <f>'[8]Population Definitions'!$A$3</f>
        <v>asx_hm</v>
      </c>
      <c r="B95" s="5" t="s">
        <v>148</v>
      </c>
    </row>
    <row r="97" spans="1:14" x14ac:dyDescent="0.35">
      <c r="A97" s="1" t="s">
        <v>149</v>
      </c>
      <c r="B97" s="1"/>
      <c r="C97" s="1" t="s">
        <v>150</v>
      </c>
      <c r="D97" s="1" t="s">
        <v>28</v>
      </c>
      <c r="E97" s="1" t="s">
        <v>29</v>
      </c>
      <c r="F97" s="1" t="s">
        <v>30</v>
      </c>
      <c r="G97" s="1" t="s">
        <v>31</v>
      </c>
      <c r="H97" s="1"/>
      <c r="I97" s="1">
        <v>2020</v>
      </c>
      <c r="J97" s="1">
        <v>2021</v>
      </c>
      <c r="K97" s="1">
        <v>2022</v>
      </c>
      <c r="L97" s="1">
        <v>2023</v>
      </c>
      <c r="M97" s="1">
        <v>2024</v>
      </c>
      <c r="N97" s="1">
        <v>2025</v>
      </c>
    </row>
    <row r="98" spans="1:14" x14ac:dyDescent="0.35">
      <c r="A98" s="1" t="str">
        <f>IF($B$95="Y",'[8]Population Definitions'!$A$3,"...")</f>
        <v>asx_hm</v>
      </c>
      <c r="B98" s="4" t="str">
        <f>IF($B$95="Y","---&gt;","...")</f>
        <v>---&gt;</v>
      </c>
      <c r="C98" s="1" t="str">
        <f>IF($B$95="Y",'[8]Population Definitions'!$A$3,"...")</f>
        <v>asx_hm</v>
      </c>
      <c r="D98" t="s">
        <v>32</v>
      </c>
      <c r="E98" s="3" t="s">
        <v>120</v>
      </c>
      <c r="F98" s="3"/>
      <c r="G98" s="3">
        <v>1</v>
      </c>
      <c r="H98" s="4" t="str">
        <f>IF($B$95="Y","OR","...")</f>
        <v>OR</v>
      </c>
      <c r="I98" s="3"/>
      <c r="J98" s="3"/>
      <c r="K98" s="3"/>
      <c r="L98" s="3"/>
      <c r="M98" s="3"/>
      <c r="N98" s="3"/>
    </row>
    <row r="100" spans="1:14" x14ac:dyDescent="0.35">
      <c r="A100" s="1" t="s">
        <v>0</v>
      </c>
      <c r="B100" s="1" t="s">
        <v>1</v>
      </c>
      <c r="C100" s="1" t="s">
        <v>146</v>
      </c>
      <c r="D100" s="1" t="s">
        <v>147</v>
      </c>
    </row>
    <row r="101" spans="1:14" x14ac:dyDescent="0.35">
      <c r="A101" t="s">
        <v>247</v>
      </c>
      <c r="B101" t="s">
        <v>247</v>
      </c>
      <c r="C101" t="s">
        <v>17</v>
      </c>
      <c r="D101" t="s">
        <v>5</v>
      </c>
    </row>
    <row r="103" spans="1:14" x14ac:dyDescent="0.35">
      <c r="B103" s="1" t="str">
        <f>'[8]Population Definitions'!$A$3</f>
        <v>asx_hm</v>
      </c>
    </row>
    <row r="104" spans="1:14" x14ac:dyDescent="0.35">
      <c r="A104" s="1" t="str">
        <f>'[8]Population Definitions'!$A$11</f>
        <v>nsep_hm</v>
      </c>
      <c r="B104" s="5" t="s">
        <v>148</v>
      </c>
    </row>
    <row r="106" spans="1:14" x14ac:dyDescent="0.35">
      <c r="A106" s="1" t="s">
        <v>149</v>
      </c>
      <c r="B106" s="1"/>
      <c r="C106" s="1" t="s">
        <v>150</v>
      </c>
      <c r="D106" s="1" t="s">
        <v>28</v>
      </c>
      <c r="E106" s="1" t="s">
        <v>29</v>
      </c>
      <c r="F106" s="1" t="s">
        <v>30</v>
      </c>
      <c r="G106" s="1" t="s">
        <v>31</v>
      </c>
      <c r="H106" s="1"/>
      <c r="I106" s="1">
        <v>2020</v>
      </c>
      <c r="J106" s="1">
        <v>2021</v>
      </c>
      <c r="K106" s="1">
        <v>2022</v>
      </c>
      <c r="L106" s="1">
        <v>2023</v>
      </c>
      <c r="M106" s="1">
        <v>2024</v>
      </c>
      <c r="N106" s="1">
        <v>2025</v>
      </c>
    </row>
    <row r="107" spans="1:14" x14ac:dyDescent="0.35">
      <c r="A107" s="1" t="str">
        <f>IF($B$104="Y",'[8]Population Definitions'!$A$11,"...")</f>
        <v>nsep_hm</v>
      </c>
      <c r="B107" s="4" t="str">
        <f>IF($B$104="Y","---&gt;","...")</f>
        <v>---&gt;</v>
      </c>
      <c r="C107" s="1" t="str">
        <f>IF($B$104="Y",'[8]Population Definitions'!$A$3,"...")</f>
        <v>asx_hm</v>
      </c>
      <c r="D107" t="s">
        <v>32</v>
      </c>
      <c r="E107" s="3" t="s">
        <v>120</v>
      </c>
      <c r="F107" s="3"/>
      <c r="G107" s="3">
        <v>1</v>
      </c>
      <c r="H107" s="4" t="str">
        <f>IF($B$104="Y","OR","...")</f>
        <v>OR</v>
      </c>
      <c r="I107" s="3"/>
      <c r="J107" s="3"/>
      <c r="K107" s="3"/>
      <c r="L107" s="3"/>
      <c r="M107" s="3"/>
      <c r="N107" s="3"/>
    </row>
    <row r="109" spans="1:14" x14ac:dyDescent="0.35">
      <c r="A109" s="1" t="s">
        <v>0</v>
      </c>
      <c r="B109" s="1" t="s">
        <v>1</v>
      </c>
      <c r="C109" s="1" t="s">
        <v>146</v>
      </c>
      <c r="D109" s="1" t="s">
        <v>147</v>
      </c>
    </row>
    <row r="110" spans="1:14" x14ac:dyDescent="0.35">
      <c r="A110" t="s">
        <v>248</v>
      </c>
      <c r="B110" t="s">
        <v>248</v>
      </c>
      <c r="C110" t="s">
        <v>15</v>
      </c>
      <c r="D110" t="s">
        <v>5</v>
      </c>
    </row>
    <row r="112" spans="1:14" x14ac:dyDescent="0.35">
      <c r="B112" s="1" t="str">
        <f>'[8]Population Definitions'!$A$3</f>
        <v>asx_hm</v>
      </c>
    </row>
    <row r="113" spans="1:14" x14ac:dyDescent="0.35">
      <c r="A113" s="1" t="str">
        <f>'[8]Population Definitions'!$A$10</f>
        <v>oth_hm</v>
      </c>
      <c r="B113" s="5" t="s">
        <v>148</v>
      </c>
    </row>
    <row r="115" spans="1:14" x14ac:dyDescent="0.35">
      <c r="A115" s="1" t="s">
        <v>149</v>
      </c>
      <c r="B115" s="1"/>
      <c r="C115" s="1" t="s">
        <v>150</v>
      </c>
      <c r="D115" s="1" t="s">
        <v>28</v>
      </c>
      <c r="E115" s="1" t="s">
        <v>29</v>
      </c>
      <c r="F115" s="1" t="s">
        <v>30</v>
      </c>
      <c r="G115" s="1" t="s">
        <v>31</v>
      </c>
      <c r="H115" s="1"/>
      <c r="I115" s="1">
        <v>2020</v>
      </c>
      <c r="J115" s="1">
        <v>2021</v>
      </c>
      <c r="K115" s="1">
        <v>2022</v>
      </c>
      <c r="L115" s="1">
        <v>2023</v>
      </c>
      <c r="M115" s="1">
        <v>2024</v>
      </c>
      <c r="N115" s="1">
        <v>2025</v>
      </c>
    </row>
    <row r="116" spans="1:14" x14ac:dyDescent="0.35">
      <c r="A116" s="1" t="str">
        <f>IF($B$113="Y",'[8]Population Definitions'!$A$10,"...")</f>
        <v>oth_hm</v>
      </c>
      <c r="B116" s="4" t="str">
        <f>IF($B$113="Y","---&gt;","...")</f>
        <v>---&gt;</v>
      </c>
      <c r="C116" s="1" t="str">
        <f>IF($B$113="Y",'[8]Population Definitions'!$A$3,"...")</f>
        <v>asx_hm</v>
      </c>
      <c r="D116" t="s">
        <v>32</v>
      </c>
      <c r="E116" s="3" t="s">
        <v>120</v>
      </c>
      <c r="F116" s="3"/>
      <c r="G116" s="3">
        <v>1</v>
      </c>
      <c r="H116" s="4" t="str">
        <f>IF($B$113="Y","OR","...")</f>
        <v>OR</v>
      </c>
      <c r="I116" s="3"/>
      <c r="J116" s="3"/>
      <c r="K116" s="3"/>
      <c r="L116" s="3"/>
      <c r="M116" s="3"/>
      <c r="N116" s="3"/>
    </row>
    <row r="118" spans="1:14" x14ac:dyDescent="0.35">
      <c r="A118" s="1" t="s">
        <v>0</v>
      </c>
      <c r="B118" s="1" t="s">
        <v>1</v>
      </c>
      <c r="C118" s="1" t="s">
        <v>146</v>
      </c>
      <c r="D118" s="1" t="s">
        <v>147</v>
      </c>
    </row>
    <row r="119" spans="1:14" x14ac:dyDescent="0.35">
      <c r="A119" t="s">
        <v>249</v>
      </c>
      <c r="B119" t="s">
        <v>249</v>
      </c>
      <c r="C119" t="s">
        <v>21</v>
      </c>
      <c r="D119" t="s">
        <v>5</v>
      </c>
    </row>
    <row r="121" spans="1:14" x14ac:dyDescent="0.35">
      <c r="B121" s="1" t="str">
        <f>'[8]Population Definitions'!$A$3</f>
        <v>asx_hm</v>
      </c>
    </row>
    <row r="122" spans="1:14" x14ac:dyDescent="0.35">
      <c r="A122" s="1" t="str">
        <f>'[8]Population Definitions'!$A$13</f>
        <v>rds_hm</v>
      </c>
      <c r="B122" s="5" t="s">
        <v>148</v>
      </c>
    </row>
    <row r="124" spans="1:14" x14ac:dyDescent="0.35">
      <c r="A124" s="1" t="s">
        <v>149</v>
      </c>
      <c r="B124" s="1"/>
      <c r="C124" s="1" t="s">
        <v>150</v>
      </c>
      <c r="D124" s="1" t="s">
        <v>28</v>
      </c>
      <c r="E124" s="1" t="s">
        <v>29</v>
      </c>
      <c r="F124" s="1" t="s">
        <v>30</v>
      </c>
      <c r="G124" s="1" t="s">
        <v>31</v>
      </c>
      <c r="H124" s="1"/>
      <c r="I124" s="1">
        <v>2020</v>
      </c>
      <c r="J124" s="1">
        <v>2021</v>
      </c>
      <c r="K124" s="1">
        <v>2022</v>
      </c>
      <c r="L124" s="1">
        <v>2023</v>
      </c>
      <c r="M124" s="1">
        <v>2024</v>
      </c>
      <c r="N124" s="1">
        <v>2025</v>
      </c>
    </row>
    <row r="125" spans="1:14" x14ac:dyDescent="0.35">
      <c r="A125" s="1" t="str">
        <f>IF($B$122="Y",'[8]Population Definitions'!$A$13,"...")</f>
        <v>rds_hm</v>
      </c>
      <c r="B125" s="4" t="str">
        <f>IF($B$122="Y","---&gt;","...")</f>
        <v>---&gt;</v>
      </c>
      <c r="C125" s="1" t="str">
        <f>IF($B$122="Y",'[8]Population Definitions'!$A$3,"...")</f>
        <v>asx_hm</v>
      </c>
      <c r="D125" t="s">
        <v>32</v>
      </c>
      <c r="E125" s="3" t="s">
        <v>120</v>
      </c>
      <c r="F125" s="3"/>
      <c r="G125" s="3">
        <v>1</v>
      </c>
      <c r="H125" s="4" t="str">
        <f>IF($B$122="Y","OR","...")</f>
        <v>OR</v>
      </c>
      <c r="I125" s="3"/>
      <c r="J125" s="3"/>
      <c r="K125" s="3"/>
      <c r="L125" s="3"/>
      <c r="M125" s="3"/>
      <c r="N125" s="3"/>
    </row>
    <row r="127" spans="1:14" x14ac:dyDescent="0.35">
      <c r="A127" s="1" t="s">
        <v>0</v>
      </c>
      <c r="B127" s="1" t="s">
        <v>1</v>
      </c>
      <c r="C127" s="1" t="s">
        <v>146</v>
      </c>
      <c r="D127" s="1" t="s">
        <v>147</v>
      </c>
    </row>
    <row r="128" spans="1:14" x14ac:dyDescent="0.35">
      <c r="A128" t="s">
        <v>250</v>
      </c>
      <c r="B128" t="s">
        <v>250</v>
      </c>
      <c r="C128" t="s">
        <v>25</v>
      </c>
      <c r="D128" t="s">
        <v>5</v>
      </c>
    </row>
    <row r="130" spans="1:14" x14ac:dyDescent="0.35">
      <c r="B130" s="1" t="str">
        <f>'[8]Population Definitions'!$A$3</f>
        <v>asx_hm</v>
      </c>
    </row>
    <row r="131" spans="1:14" x14ac:dyDescent="0.35">
      <c r="A131" s="1" t="str">
        <f>'[8]Population Definitions'!$A$15</f>
        <v>stunting_hm</v>
      </c>
      <c r="B131" s="5" t="s">
        <v>148</v>
      </c>
    </row>
    <row r="133" spans="1:14" x14ac:dyDescent="0.35">
      <c r="A133" s="1" t="s">
        <v>149</v>
      </c>
      <c r="B133" s="1"/>
      <c r="C133" s="1" t="s">
        <v>150</v>
      </c>
      <c r="D133" s="1" t="s">
        <v>28</v>
      </c>
      <c r="E133" s="1" t="s">
        <v>29</v>
      </c>
      <c r="F133" s="1" t="s">
        <v>30</v>
      </c>
      <c r="G133" s="1" t="s">
        <v>31</v>
      </c>
      <c r="H133" s="1"/>
      <c r="I133" s="1">
        <v>2020</v>
      </c>
      <c r="J133" s="1">
        <v>2021</v>
      </c>
      <c r="K133" s="1">
        <v>2022</v>
      </c>
      <c r="L133" s="1">
        <v>2023</v>
      </c>
      <c r="M133" s="1">
        <v>2024</v>
      </c>
      <c r="N133" s="1">
        <v>2025</v>
      </c>
    </row>
    <row r="134" spans="1:14" x14ac:dyDescent="0.35">
      <c r="A134" s="1" t="str">
        <f>IF($B$131="Y",'[8]Population Definitions'!$A$15,"...")</f>
        <v>stunting_hm</v>
      </c>
      <c r="B134" s="4" t="str">
        <f>IF($B$131="Y","---&gt;","...")</f>
        <v>---&gt;</v>
      </c>
      <c r="C134" s="1" t="str">
        <f>IF($B$131="Y",'[8]Population Definitions'!$A$3,"...")</f>
        <v>asx_hm</v>
      </c>
      <c r="D134" t="s">
        <v>32</v>
      </c>
      <c r="E134" s="3" t="s">
        <v>120</v>
      </c>
      <c r="F134" s="3"/>
      <c r="G134" s="3">
        <v>1</v>
      </c>
      <c r="H134" s="4" t="str">
        <f>IF($B$131="Y","OR","...")</f>
        <v>OR</v>
      </c>
      <c r="I134" s="3"/>
      <c r="J134" s="3"/>
      <c r="K134" s="3"/>
      <c r="L134" s="3"/>
      <c r="M134" s="3"/>
      <c r="N134" s="3"/>
    </row>
    <row r="136" spans="1:14" x14ac:dyDescent="0.35">
      <c r="A136" s="1" t="s">
        <v>0</v>
      </c>
      <c r="B136" s="1" t="s">
        <v>1</v>
      </c>
      <c r="C136" s="1" t="s">
        <v>146</v>
      </c>
      <c r="D136" s="1" t="s">
        <v>147</v>
      </c>
    </row>
    <row r="137" spans="1:14" x14ac:dyDescent="0.35">
      <c r="A137" t="s">
        <v>152</v>
      </c>
      <c r="B137" t="s">
        <v>152</v>
      </c>
      <c r="C137" t="s">
        <v>3</v>
      </c>
      <c r="D137" t="s">
        <v>7</v>
      </c>
    </row>
    <row r="139" spans="1:14" x14ac:dyDescent="0.35">
      <c r="B139" s="1" t="str">
        <f>'[8]Population Definitions'!$A$4</f>
        <v>an_hm</v>
      </c>
    </row>
    <row r="140" spans="1:14" x14ac:dyDescent="0.35">
      <c r="A140" s="1" t="str">
        <f>'[8]Population Definitions'!$A$2</f>
        <v>anc_hm</v>
      </c>
      <c r="B140" s="5" t="s">
        <v>148</v>
      </c>
    </row>
    <row r="142" spans="1:14" x14ac:dyDescent="0.35">
      <c r="A142" s="1" t="s">
        <v>149</v>
      </c>
      <c r="B142" s="1"/>
      <c r="C142" s="1" t="s">
        <v>150</v>
      </c>
      <c r="D142" s="1" t="s">
        <v>28</v>
      </c>
      <c r="E142" s="1" t="s">
        <v>29</v>
      </c>
      <c r="F142" s="1" t="s">
        <v>30</v>
      </c>
      <c r="G142" s="1" t="s">
        <v>31</v>
      </c>
      <c r="H142" s="1"/>
      <c r="I142" s="1">
        <v>2020</v>
      </c>
      <c r="J142" s="1">
        <v>2021</v>
      </c>
      <c r="K142" s="1">
        <v>2022</v>
      </c>
      <c r="L142" s="1">
        <v>2023</v>
      </c>
      <c r="M142" s="1">
        <v>2024</v>
      </c>
      <c r="N142" s="1">
        <v>2025</v>
      </c>
    </row>
    <row r="143" spans="1:14" x14ac:dyDescent="0.35">
      <c r="A143" s="1" t="str">
        <f>IF($B$140="Y",'[8]Population Definitions'!$A$2,"...")</f>
        <v>anc_hm</v>
      </c>
      <c r="B143" s="4" t="str">
        <f>IF($B$140="Y","---&gt;","...")</f>
        <v>---&gt;</v>
      </c>
      <c r="C143" s="1" t="str">
        <f>IF($B$140="Y",'[8]Population Definitions'!$A$4,"...")</f>
        <v>an_hm</v>
      </c>
      <c r="D143" t="s">
        <v>32</v>
      </c>
      <c r="E143" s="3" t="s">
        <v>120</v>
      </c>
      <c r="F143" s="3"/>
      <c r="G143" s="3">
        <v>1</v>
      </c>
      <c r="H143" s="4" t="str">
        <f>IF($B$140="Y","OR","...")</f>
        <v>OR</v>
      </c>
      <c r="I143" s="3"/>
      <c r="J143" s="3"/>
      <c r="K143" s="3"/>
      <c r="L143" s="3"/>
      <c r="M143" s="3"/>
      <c r="N143" s="3"/>
    </row>
    <row r="145" spans="1:14" x14ac:dyDescent="0.35">
      <c r="A145" s="1" t="s">
        <v>0</v>
      </c>
      <c r="B145" s="1" t="s">
        <v>1</v>
      </c>
      <c r="C145" s="1" t="s">
        <v>146</v>
      </c>
      <c r="D145" s="1" t="s">
        <v>147</v>
      </c>
    </row>
    <row r="146" spans="1:14" x14ac:dyDescent="0.35">
      <c r="A146" t="s">
        <v>341</v>
      </c>
      <c r="B146" t="s">
        <v>341</v>
      </c>
      <c r="C146" t="s">
        <v>337</v>
      </c>
      <c r="D146" t="s">
        <v>7</v>
      </c>
    </row>
    <row r="148" spans="1:14" x14ac:dyDescent="0.35">
      <c r="B148" s="1" t="str">
        <f>'[8]Population Definitions'!$A$4</f>
        <v>an_hm</v>
      </c>
    </row>
    <row r="149" spans="1:14" x14ac:dyDescent="0.35">
      <c r="A149" s="1" t="str">
        <f>'[8]Population Definitions'!$A$8</f>
        <v>mnut_hm</v>
      </c>
      <c r="B149" s="5" t="s">
        <v>148</v>
      </c>
    </row>
    <row r="151" spans="1:14" x14ac:dyDescent="0.35">
      <c r="A151" s="1" t="s">
        <v>149</v>
      </c>
      <c r="B151" s="1"/>
      <c r="C151" s="1" t="s">
        <v>150</v>
      </c>
      <c r="D151" s="1" t="s">
        <v>28</v>
      </c>
      <c r="E151" s="1" t="s">
        <v>29</v>
      </c>
      <c r="F151" s="1" t="s">
        <v>30</v>
      </c>
      <c r="G151" s="1" t="s">
        <v>31</v>
      </c>
      <c r="H151" s="1"/>
      <c r="I151" s="1">
        <v>2020</v>
      </c>
      <c r="J151" s="1">
        <v>2021</v>
      </c>
      <c r="K151" s="1">
        <v>2022</v>
      </c>
      <c r="L151" s="1">
        <v>2023</v>
      </c>
      <c r="M151" s="1">
        <v>2024</v>
      </c>
      <c r="N151" s="1">
        <v>2025</v>
      </c>
    </row>
    <row r="152" spans="1:14" x14ac:dyDescent="0.35">
      <c r="A152" s="1" t="str">
        <f>IF($B$149="Y",'[8]Population Definitions'!$A$8,"...")</f>
        <v>mnut_hm</v>
      </c>
      <c r="B152" s="4" t="str">
        <f>IF($B$149="Y","---&gt;","...")</f>
        <v>---&gt;</v>
      </c>
      <c r="C152" s="1" t="str">
        <f>IF($B$149="Y",'[8]Population Definitions'!$A$4,"...")</f>
        <v>an_hm</v>
      </c>
      <c r="D152" t="s">
        <v>32</v>
      </c>
      <c r="E152" s="3" t="s">
        <v>120</v>
      </c>
      <c r="F152" s="3"/>
      <c r="G152" s="3">
        <v>1</v>
      </c>
      <c r="H152" s="4" t="str">
        <f>IF($B$149="Y","OR","...")</f>
        <v>OR</v>
      </c>
      <c r="I152" s="3"/>
      <c r="J152" s="3"/>
      <c r="K152" s="3"/>
      <c r="L152" s="3"/>
      <c r="M152" s="3"/>
      <c r="N152" s="3"/>
    </row>
    <row r="154" spans="1:14" x14ac:dyDescent="0.35">
      <c r="A154" s="1" t="s">
        <v>0</v>
      </c>
      <c r="B154" s="1" t="s">
        <v>1</v>
      </c>
      <c r="C154" s="1" t="s">
        <v>146</v>
      </c>
      <c r="D154" s="1" t="s">
        <v>147</v>
      </c>
    </row>
    <row r="155" spans="1:14" x14ac:dyDescent="0.35">
      <c r="A155" t="s">
        <v>153</v>
      </c>
      <c r="B155" t="s">
        <v>153</v>
      </c>
      <c r="C155" t="s">
        <v>9</v>
      </c>
      <c r="D155" t="s">
        <v>7</v>
      </c>
    </row>
    <row r="157" spans="1:14" x14ac:dyDescent="0.35">
      <c r="B157" s="1" t="str">
        <f>'[8]Population Definitions'!$A$4</f>
        <v>an_hm</v>
      </c>
    </row>
    <row r="158" spans="1:14" x14ac:dyDescent="0.35">
      <c r="A158" s="1" t="str">
        <f>'[8]Population Definitions'!$A$5</f>
        <v>hm_hm</v>
      </c>
      <c r="B158" s="5" t="s">
        <v>148</v>
      </c>
    </row>
    <row r="160" spans="1:14" x14ac:dyDescent="0.35">
      <c r="A160" s="1" t="s">
        <v>149</v>
      </c>
      <c r="B160" s="1"/>
      <c r="C160" s="1" t="s">
        <v>150</v>
      </c>
      <c r="D160" s="1" t="s">
        <v>28</v>
      </c>
      <c r="E160" s="1" t="s">
        <v>29</v>
      </c>
      <c r="F160" s="1" t="s">
        <v>30</v>
      </c>
      <c r="G160" s="1" t="s">
        <v>31</v>
      </c>
      <c r="H160" s="1"/>
      <c r="I160" s="1">
        <v>2020</v>
      </c>
      <c r="J160" s="1">
        <v>2021</v>
      </c>
      <c r="K160" s="1">
        <v>2022</v>
      </c>
      <c r="L160" s="1">
        <v>2023</v>
      </c>
      <c r="M160" s="1">
        <v>2024</v>
      </c>
      <c r="N160" s="1">
        <v>2025</v>
      </c>
    </row>
    <row r="161" spans="1:14" x14ac:dyDescent="0.35">
      <c r="A161" s="1" t="str">
        <f>IF($B$158="Y",'[8]Population Definitions'!$A$5,"...")</f>
        <v>hm_hm</v>
      </c>
      <c r="B161" s="4" t="str">
        <f>IF($B$158="Y","---&gt;","...")</f>
        <v>---&gt;</v>
      </c>
      <c r="C161" s="1" t="str">
        <f>IF($B$158="Y",'[8]Population Definitions'!$A$4,"...")</f>
        <v>an_hm</v>
      </c>
      <c r="D161" t="s">
        <v>32</v>
      </c>
      <c r="E161" s="3" t="s">
        <v>120</v>
      </c>
      <c r="F161" s="3"/>
      <c r="G161" s="3">
        <v>1</v>
      </c>
      <c r="H161" s="4" t="str">
        <f>IF($B$158="Y","OR","...")</f>
        <v>OR</v>
      </c>
      <c r="I161" s="3"/>
      <c r="J161" s="3"/>
      <c r="K161" s="3"/>
      <c r="L161" s="3"/>
      <c r="M161" s="3"/>
      <c r="N161" s="3"/>
    </row>
    <row r="163" spans="1:14" x14ac:dyDescent="0.35">
      <c r="A163" s="1" t="s">
        <v>0</v>
      </c>
      <c r="B163" s="1" t="s">
        <v>1</v>
      </c>
      <c r="C163" s="1" t="s">
        <v>146</v>
      </c>
      <c r="D163" s="1" t="s">
        <v>147</v>
      </c>
    </row>
    <row r="164" spans="1:14" x14ac:dyDescent="0.35">
      <c r="A164" t="s">
        <v>189</v>
      </c>
      <c r="B164" t="s">
        <v>189</v>
      </c>
      <c r="C164" t="s">
        <v>13</v>
      </c>
      <c r="D164" t="s">
        <v>7</v>
      </c>
    </row>
    <row r="166" spans="1:14" x14ac:dyDescent="0.35">
      <c r="B166" s="1" t="str">
        <f>'[8]Population Definitions'!$A$4</f>
        <v>an_hm</v>
      </c>
    </row>
    <row r="167" spans="1:14" x14ac:dyDescent="0.35">
      <c r="A167" s="1" t="str">
        <f>'[8]Population Definitions'!$A$9</f>
        <v>ol_hm</v>
      </c>
      <c r="B167" s="5" t="s">
        <v>148</v>
      </c>
    </row>
    <row r="169" spans="1:14" x14ac:dyDescent="0.35">
      <c r="A169" s="1" t="s">
        <v>149</v>
      </c>
      <c r="B169" s="1"/>
      <c r="C169" s="1" t="s">
        <v>150</v>
      </c>
      <c r="D169" s="1" t="s">
        <v>28</v>
      </c>
      <c r="E169" s="1" t="s">
        <v>29</v>
      </c>
      <c r="F169" s="1" t="s">
        <v>30</v>
      </c>
      <c r="G169" s="1" t="s">
        <v>31</v>
      </c>
      <c r="H169" s="1"/>
      <c r="I169" s="1">
        <v>2020</v>
      </c>
      <c r="J169" s="1">
        <v>2021</v>
      </c>
      <c r="K169" s="1">
        <v>2022</v>
      </c>
      <c r="L169" s="1">
        <v>2023</v>
      </c>
      <c r="M169" s="1">
        <v>2024</v>
      </c>
      <c r="N169" s="1">
        <v>2025</v>
      </c>
    </row>
    <row r="170" spans="1:14" x14ac:dyDescent="0.35">
      <c r="A170" s="1" t="str">
        <f>IF($B$167="Y",'[8]Population Definitions'!$A$9,"...")</f>
        <v>ol_hm</v>
      </c>
      <c r="B170" s="4" t="str">
        <f>IF($B$167="Y","---&gt;","...")</f>
        <v>---&gt;</v>
      </c>
      <c r="C170" s="1" t="str">
        <f>IF($B$167="Y",'[8]Population Definitions'!$A$4,"...")</f>
        <v>an_hm</v>
      </c>
      <c r="D170" t="s">
        <v>32</v>
      </c>
      <c r="E170" s="3" t="s">
        <v>120</v>
      </c>
      <c r="F170" s="3"/>
      <c r="G170" s="3">
        <v>1</v>
      </c>
      <c r="H170" s="4" t="str">
        <f>IF($B$167="Y","OR","...")</f>
        <v>OR</v>
      </c>
      <c r="I170" s="3"/>
      <c r="J170" s="3"/>
      <c r="K170" s="3"/>
      <c r="L170" s="3"/>
      <c r="M170" s="3"/>
      <c r="N170" s="3"/>
    </row>
    <row r="172" spans="1:14" x14ac:dyDescent="0.35">
      <c r="A172" s="1" t="s">
        <v>0</v>
      </c>
      <c r="B172" s="1" t="s">
        <v>1</v>
      </c>
      <c r="C172" s="1" t="s">
        <v>146</v>
      </c>
      <c r="D172" s="1" t="s">
        <v>147</v>
      </c>
    </row>
    <row r="173" spans="1:14" x14ac:dyDescent="0.35">
      <c r="A173" t="s">
        <v>279</v>
      </c>
      <c r="B173" t="s">
        <v>279</v>
      </c>
      <c r="C173" t="s">
        <v>19</v>
      </c>
      <c r="D173" t="s">
        <v>7</v>
      </c>
    </row>
    <row r="175" spans="1:14" x14ac:dyDescent="0.35">
      <c r="B175" s="1" t="str">
        <f>'[8]Population Definitions'!$A$4</f>
        <v>an_hm</v>
      </c>
    </row>
    <row r="176" spans="1:14" x14ac:dyDescent="0.35">
      <c r="A176" s="1" t="str">
        <f>'[8]Population Definitions'!$A$12</f>
        <v>pt_hm</v>
      </c>
      <c r="B176" s="5" t="s">
        <v>148</v>
      </c>
    </row>
    <row r="178" spans="1:14" x14ac:dyDescent="0.35">
      <c r="A178" s="1" t="s">
        <v>149</v>
      </c>
      <c r="B178" s="1"/>
      <c r="C178" s="1" t="s">
        <v>150</v>
      </c>
      <c r="D178" s="1" t="s">
        <v>28</v>
      </c>
      <c r="E178" s="1" t="s">
        <v>29</v>
      </c>
      <c r="F178" s="1" t="s">
        <v>30</v>
      </c>
      <c r="G178" s="1" t="s">
        <v>31</v>
      </c>
      <c r="H178" s="1"/>
      <c r="I178" s="1">
        <v>2020</v>
      </c>
      <c r="J178" s="1">
        <v>2021</v>
      </c>
      <c r="K178" s="1">
        <v>2022</v>
      </c>
      <c r="L178" s="1">
        <v>2023</v>
      </c>
      <c r="M178" s="1">
        <v>2024</v>
      </c>
      <c r="N178" s="1">
        <v>2025</v>
      </c>
    </row>
    <row r="179" spans="1:14" x14ac:dyDescent="0.35">
      <c r="A179" s="1" t="str">
        <f>IF($B$176="Y",'[8]Population Definitions'!$A$12,"...")</f>
        <v>pt_hm</v>
      </c>
      <c r="B179" s="4" t="str">
        <f>IF($B$176="Y","---&gt;","...")</f>
        <v>---&gt;</v>
      </c>
      <c r="C179" s="1" t="str">
        <f>IF($B$176="Y",'[8]Population Definitions'!$A$4,"...")</f>
        <v>an_hm</v>
      </c>
      <c r="D179" t="s">
        <v>32</v>
      </c>
      <c r="E179" s="3" t="s">
        <v>120</v>
      </c>
      <c r="F179" s="3"/>
      <c r="G179" s="3">
        <v>1</v>
      </c>
      <c r="H179" s="4" t="str">
        <f>IF($B$176="Y","OR","...")</f>
        <v>OR</v>
      </c>
      <c r="I179" s="3"/>
      <c r="J179" s="3"/>
      <c r="K179" s="3"/>
      <c r="L179" s="3"/>
      <c r="M179" s="3"/>
      <c r="N179" s="3"/>
    </row>
    <row r="181" spans="1:14" x14ac:dyDescent="0.35">
      <c r="A181" s="1" t="s">
        <v>0</v>
      </c>
      <c r="B181" s="1" t="s">
        <v>1</v>
      </c>
      <c r="C181" s="1" t="s">
        <v>146</v>
      </c>
      <c r="D181" s="1" t="s">
        <v>147</v>
      </c>
    </row>
    <row r="182" spans="1:14" x14ac:dyDescent="0.35">
      <c r="A182" t="s">
        <v>190</v>
      </c>
      <c r="B182" t="s">
        <v>190</v>
      </c>
      <c r="C182" t="s">
        <v>11</v>
      </c>
      <c r="D182" t="s">
        <v>7</v>
      </c>
    </row>
    <row r="184" spans="1:14" x14ac:dyDescent="0.35">
      <c r="B184" s="1" t="str">
        <f>'[8]Population Definitions'!$A$4</f>
        <v>an_hm</v>
      </c>
    </row>
    <row r="185" spans="1:14" x14ac:dyDescent="0.35">
      <c r="A185" s="1" t="str">
        <f>'[8]Population Definitions'!$A$6</f>
        <v>msep_hm</v>
      </c>
      <c r="B185" s="5" t="s">
        <v>148</v>
      </c>
    </row>
    <row r="187" spans="1:14" x14ac:dyDescent="0.35">
      <c r="A187" s="1" t="s">
        <v>149</v>
      </c>
      <c r="B187" s="1"/>
      <c r="C187" s="1" t="s">
        <v>150</v>
      </c>
      <c r="D187" s="1" t="s">
        <v>28</v>
      </c>
      <c r="E187" s="1" t="s">
        <v>29</v>
      </c>
      <c r="F187" s="1" t="s">
        <v>30</v>
      </c>
      <c r="G187" s="1" t="s">
        <v>31</v>
      </c>
      <c r="H187" s="1"/>
      <c r="I187" s="1">
        <v>2020</v>
      </c>
      <c r="J187" s="1">
        <v>2021</v>
      </c>
      <c r="K187" s="1">
        <v>2022</v>
      </c>
      <c r="L187" s="1">
        <v>2023</v>
      </c>
      <c r="M187" s="1">
        <v>2024</v>
      </c>
      <c r="N187" s="1">
        <v>2025</v>
      </c>
    </row>
    <row r="188" spans="1:14" x14ac:dyDescent="0.35">
      <c r="A188" s="1" t="str">
        <f>IF($B$185="Y",'[8]Population Definitions'!$A$6,"...")</f>
        <v>msep_hm</v>
      </c>
      <c r="B188" s="4" t="str">
        <f>IF($B$185="Y","---&gt;","...")</f>
        <v>---&gt;</v>
      </c>
      <c r="C188" s="1" t="str">
        <f>IF($B$185="Y",'[8]Population Definitions'!$A$4,"...")</f>
        <v>an_hm</v>
      </c>
      <c r="D188" t="s">
        <v>32</v>
      </c>
      <c r="E188" s="3" t="s">
        <v>120</v>
      </c>
      <c r="F188" s="3"/>
      <c r="G188" s="3">
        <v>1</v>
      </c>
      <c r="H188" s="4" t="str">
        <f>IF($B$185="Y","OR","...")</f>
        <v>OR</v>
      </c>
      <c r="I188" s="3"/>
      <c r="J188" s="3"/>
      <c r="K188" s="3"/>
      <c r="L188" s="3"/>
      <c r="M188" s="3"/>
      <c r="N188" s="3"/>
    </row>
    <row r="190" spans="1:14" x14ac:dyDescent="0.35">
      <c r="A190" s="1" t="s">
        <v>0</v>
      </c>
      <c r="B190" s="1" t="s">
        <v>1</v>
      </c>
      <c r="C190" s="1" t="s">
        <v>146</v>
      </c>
      <c r="D190" s="1" t="s">
        <v>147</v>
      </c>
    </row>
    <row r="191" spans="1:14" x14ac:dyDescent="0.35">
      <c r="A191" t="s">
        <v>191</v>
      </c>
      <c r="B191" t="s">
        <v>191</v>
      </c>
      <c r="C191" t="s">
        <v>7</v>
      </c>
      <c r="D191" t="s">
        <v>7</v>
      </c>
    </row>
    <row r="193" spans="1:14" x14ac:dyDescent="0.35">
      <c r="B193" s="1" t="str">
        <f>'[8]Population Definitions'!$A$4</f>
        <v>an_hm</v>
      </c>
    </row>
    <row r="194" spans="1:14" x14ac:dyDescent="0.35">
      <c r="A194" s="1" t="str">
        <f>'[8]Population Definitions'!$A$4</f>
        <v>an_hm</v>
      </c>
      <c r="B194" s="5" t="s">
        <v>148</v>
      </c>
    </row>
    <row r="196" spans="1:14" x14ac:dyDescent="0.35">
      <c r="A196" s="1" t="s">
        <v>149</v>
      </c>
      <c r="B196" s="1"/>
      <c r="C196" s="1" t="s">
        <v>150</v>
      </c>
      <c r="D196" s="1" t="s">
        <v>28</v>
      </c>
      <c r="E196" s="1" t="s">
        <v>29</v>
      </c>
      <c r="F196" s="1" t="s">
        <v>30</v>
      </c>
      <c r="G196" s="1" t="s">
        <v>31</v>
      </c>
      <c r="H196" s="1"/>
      <c r="I196" s="1">
        <v>2020</v>
      </c>
      <c r="J196" s="1">
        <v>2021</v>
      </c>
      <c r="K196" s="1">
        <v>2022</v>
      </c>
      <c r="L196" s="1">
        <v>2023</v>
      </c>
      <c r="M196" s="1">
        <v>2024</v>
      </c>
      <c r="N196" s="1">
        <v>2025</v>
      </c>
    </row>
    <row r="197" spans="1:14" x14ac:dyDescent="0.35">
      <c r="A197" s="1" t="str">
        <f>IF($B$194="Y",'[8]Population Definitions'!$A$4,"...")</f>
        <v>an_hm</v>
      </c>
      <c r="B197" s="4" t="str">
        <f>IF($B$194="Y","---&gt;","...")</f>
        <v>---&gt;</v>
      </c>
      <c r="C197" s="1" t="str">
        <f>IF($B$194="Y",'[8]Population Definitions'!$A$4,"...")</f>
        <v>an_hm</v>
      </c>
      <c r="D197" t="s">
        <v>32</v>
      </c>
      <c r="E197" s="3" t="s">
        <v>120</v>
      </c>
      <c r="F197" s="3"/>
      <c r="G197" s="3">
        <v>1</v>
      </c>
      <c r="H197" s="4" t="str">
        <f>IF($B$194="Y","OR","...")</f>
        <v>OR</v>
      </c>
      <c r="I197" s="3"/>
      <c r="J197" s="3"/>
      <c r="K197" s="3"/>
      <c r="L197" s="3"/>
      <c r="M197" s="3"/>
      <c r="N197" s="3"/>
    </row>
    <row r="199" spans="1:14" x14ac:dyDescent="0.35">
      <c r="A199" s="1" t="s">
        <v>0</v>
      </c>
      <c r="B199" s="1" t="s">
        <v>1</v>
      </c>
      <c r="C199" s="1" t="s">
        <v>146</v>
      </c>
      <c r="D199" s="1" t="s">
        <v>147</v>
      </c>
    </row>
    <row r="200" spans="1:14" x14ac:dyDescent="0.35">
      <c r="A200" t="s">
        <v>154</v>
      </c>
      <c r="B200" t="s">
        <v>154</v>
      </c>
      <c r="C200" t="s">
        <v>3</v>
      </c>
      <c r="D200" t="s">
        <v>9</v>
      </c>
    </row>
    <row r="202" spans="1:14" x14ac:dyDescent="0.35">
      <c r="B202" s="1" t="str">
        <f>'[8]Population Definitions'!$A$5</f>
        <v>hm_hm</v>
      </c>
    </row>
    <row r="203" spans="1:14" x14ac:dyDescent="0.35">
      <c r="A203" s="1" t="str">
        <f>'[8]Population Definitions'!$A$2</f>
        <v>anc_hm</v>
      </c>
      <c r="B203" s="5" t="s">
        <v>148</v>
      </c>
    </row>
    <row r="205" spans="1:14" x14ac:dyDescent="0.35">
      <c r="A205" s="1" t="s">
        <v>149</v>
      </c>
      <c r="B205" s="1"/>
      <c r="C205" s="1" t="s">
        <v>150</v>
      </c>
      <c r="D205" s="1" t="s">
        <v>28</v>
      </c>
      <c r="E205" s="1" t="s">
        <v>29</v>
      </c>
      <c r="F205" s="1" t="s">
        <v>30</v>
      </c>
      <c r="G205" s="1" t="s">
        <v>31</v>
      </c>
      <c r="H205" s="1"/>
      <c r="I205" s="1">
        <v>2020</v>
      </c>
      <c r="J205" s="1">
        <v>2021</v>
      </c>
      <c r="K205" s="1">
        <v>2022</v>
      </c>
      <c r="L205" s="1">
        <v>2023</v>
      </c>
      <c r="M205" s="1">
        <v>2024</v>
      </c>
      <c r="N205" s="1">
        <v>2025</v>
      </c>
    </row>
    <row r="206" spans="1:14" x14ac:dyDescent="0.35">
      <c r="A206" s="1" t="str">
        <f>IF($B$203="Y",'[8]Population Definitions'!$A$2,"...")</f>
        <v>anc_hm</v>
      </c>
      <c r="B206" s="4" t="str">
        <f>IF($B$203="Y","---&gt;","...")</f>
        <v>---&gt;</v>
      </c>
      <c r="C206" s="1" t="str">
        <f>IF($B$203="Y",'[8]Population Definitions'!$A$5,"...")</f>
        <v>hm_hm</v>
      </c>
      <c r="D206" t="s">
        <v>32</v>
      </c>
      <c r="E206" s="3" t="s">
        <v>120</v>
      </c>
      <c r="F206" s="3"/>
      <c r="G206" s="3">
        <v>1</v>
      </c>
      <c r="H206" s="4" t="str">
        <f>IF($B$203="Y","OR","...")</f>
        <v>OR</v>
      </c>
      <c r="I206" s="3"/>
      <c r="J206" s="3"/>
      <c r="K206" s="3"/>
      <c r="L206" s="3"/>
      <c r="M206" s="3"/>
      <c r="N206" s="3"/>
    </row>
    <row r="208" spans="1:14" x14ac:dyDescent="0.35">
      <c r="A208" s="1" t="s">
        <v>0</v>
      </c>
      <c r="B208" s="1" t="s">
        <v>1</v>
      </c>
      <c r="C208" s="1" t="s">
        <v>146</v>
      </c>
      <c r="D208" s="1" t="s">
        <v>147</v>
      </c>
    </row>
    <row r="209" spans="1:14" x14ac:dyDescent="0.35">
      <c r="A209" t="s">
        <v>155</v>
      </c>
      <c r="B209" t="s">
        <v>155</v>
      </c>
      <c r="C209" t="s">
        <v>7</v>
      </c>
      <c r="D209" t="s">
        <v>9</v>
      </c>
    </row>
    <row r="211" spans="1:14" x14ac:dyDescent="0.35">
      <c r="B211" s="1" t="str">
        <f>'[8]Population Definitions'!$A$5</f>
        <v>hm_hm</v>
      </c>
    </row>
    <row r="212" spans="1:14" x14ac:dyDescent="0.35">
      <c r="A212" s="1" t="str">
        <f>'[8]Population Definitions'!$A$4</f>
        <v>an_hm</v>
      </c>
      <c r="B212" s="5" t="s">
        <v>148</v>
      </c>
    </row>
    <row r="214" spans="1:14" x14ac:dyDescent="0.35">
      <c r="A214" s="1" t="s">
        <v>149</v>
      </c>
      <c r="B214" s="1"/>
      <c r="C214" s="1" t="s">
        <v>150</v>
      </c>
      <c r="D214" s="1" t="s">
        <v>28</v>
      </c>
      <c r="E214" s="1" t="s">
        <v>29</v>
      </c>
      <c r="F214" s="1" t="s">
        <v>30</v>
      </c>
      <c r="G214" s="1" t="s">
        <v>31</v>
      </c>
      <c r="H214" s="1"/>
      <c r="I214" s="1">
        <v>2020</v>
      </c>
      <c r="J214" s="1">
        <v>2021</v>
      </c>
      <c r="K214" s="1">
        <v>2022</v>
      </c>
      <c r="L214" s="1">
        <v>2023</v>
      </c>
      <c r="M214" s="1">
        <v>2024</v>
      </c>
      <c r="N214" s="1">
        <v>2025</v>
      </c>
    </row>
    <row r="215" spans="1:14" x14ac:dyDescent="0.35">
      <c r="A215" s="1" t="str">
        <f>IF($B$212="Y",'[8]Population Definitions'!$A$4,"...")</f>
        <v>an_hm</v>
      </c>
      <c r="B215" s="4" t="str">
        <f>IF($B$212="Y","---&gt;","...")</f>
        <v>---&gt;</v>
      </c>
      <c r="C215" s="1" t="str">
        <f>IF($B$212="Y",'[8]Population Definitions'!$A$5,"...")</f>
        <v>hm_hm</v>
      </c>
      <c r="D215" t="s">
        <v>32</v>
      </c>
      <c r="E215" s="3" t="s">
        <v>120</v>
      </c>
      <c r="F215" s="3"/>
      <c r="G215" s="3">
        <v>1</v>
      </c>
      <c r="H215" s="4" t="str">
        <f>IF($B$212="Y","OR","...")</f>
        <v>OR</v>
      </c>
      <c r="I215" s="3"/>
      <c r="J215" s="3"/>
      <c r="K215" s="3"/>
      <c r="L215" s="3"/>
      <c r="M215" s="3"/>
      <c r="N215" s="3"/>
    </row>
    <row r="217" spans="1:14" x14ac:dyDescent="0.35">
      <c r="A217" s="1" t="s">
        <v>0</v>
      </c>
      <c r="B217" s="1" t="s">
        <v>1</v>
      </c>
      <c r="C217" s="1" t="s">
        <v>146</v>
      </c>
      <c r="D217" s="1" t="s">
        <v>147</v>
      </c>
    </row>
    <row r="218" spans="1:14" x14ac:dyDescent="0.35">
      <c r="A218" t="s">
        <v>156</v>
      </c>
      <c r="B218" t="s">
        <v>156</v>
      </c>
      <c r="C218" t="s">
        <v>9</v>
      </c>
      <c r="D218" t="s">
        <v>9</v>
      </c>
    </row>
    <row r="220" spans="1:14" x14ac:dyDescent="0.35">
      <c r="B220" s="1" t="str">
        <f>'[8]Population Definitions'!$A$5</f>
        <v>hm_hm</v>
      </c>
    </row>
    <row r="221" spans="1:14" x14ac:dyDescent="0.35">
      <c r="A221" s="1" t="str">
        <f>'[8]Population Definitions'!$A$5</f>
        <v>hm_hm</v>
      </c>
      <c r="B221" s="5" t="s">
        <v>148</v>
      </c>
    </row>
    <row r="223" spans="1:14" x14ac:dyDescent="0.35">
      <c r="A223" s="1" t="s">
        <v>149</v>
      </c>
      <c r="B223" s="1"/>
      <c r="C223" s="1" t="s">
        <v>150</v>
      </c>
      <c r="D223" s="1" t="s">
        <v>28</v>
      </c>
      <c r="E223" s="1" t="s">
        <v>29</v>
      </c>
      <c r="F223" s="1" t="s">
        <v>30</v>
      </c>
      <c r="G223" s="1" t="s">
        <v>31</v>
      </c>
      <c r="H223" s="1"/>
      <c r="I223" s="1">
        <v>2020</v>
      </c>
      <c r="J223" s="1">
        <v>2021</v>
      </c>
      <c r="K223" s="1">
        <v>2022</v>
      </c>
      <c r="L223" s="1">
        <v>2023</v>
      </c>
      <c r="M223" s="1">
        <v>2024</v>
      </c>
      <c r="N223" s="1">
        <v>2025</v>
      </c>
    </row>
    <row r="224" spans="1:14" x14ac:dyDescent="0.35">
      <c r="A224" s="1" t="str">
        <f>IF($B$221="Y",'[8]Population Definitions'!$A$5,"...")</f>
        <v>hm_hm</v>
      </c>
      <c r="B224" s="4" t="str">
        <f>IF($B$221="Y","---&gt;","...")</f>
        <v>---&gt;</v>
      </c>
      <c r="C224" s="1" t="str">
        <f>IF($B$221="Y",'[8]Population Definitions'!$A$5,"...")</f>
        <v>hm_hm</v>
      </c>
      <c r="D224" t="s">
        <v>32</v>
      </c>
      <c r="E224" s="3" t="s">
        <v>120</v>
      </c>
      <c r="F224" s="3"/>
      <c r="G224" s="3">
        <v>1</v>
      </c>
      <c r="H224" s="4" t="str">
        <f>IF($B$221="Y","OR","...")</f>
        <v>OR</v>
      </c>
      <c r="I224" s="3"/>
      <c r="J224" s="3"/>
      <c r="K224" s="3"/>
      <c r="L224" s="3"/>
      <c r="M224" s="3"/>
      <c r="N224" s="3"/>
    </row>
    <row r="226" spans="1:14" x14ac:dyDescent="0.35">
      <c r="A226" s="1" t="s">
        <v>0</v>
      </c>
      <c r="B226" s="1" t="s">
        <v>1</v>
      </c>
      <c r="C226" s="1" t="s">
        <v>146</v>
      </c>
      <c r="D226" s="1" t="s">
        <v>147</v>
      </c>
    </row>
    <row r="227" spans="1:14" x14ac:dyDescent="0.35">
      <c r="A227" t="s">
        <v>157</v>
      </c>
      <c r="B227" t="s">
        <v>157</v>
      </c>
      <c r="C227" t="s">
        <v>13</v>
      </c>
      <c r="D227" t="s">
        <v>9</v>
      </c>
    </row>
    <row r="229" spans="1:14" x14ac:dyDescent="0.35">
      <c r="B229" s="1" t="str">
        <f>'[8]Population Definitions'!$A$5</f>
        <v>hm_hm</v>
      </c>
    </row>
    <row r="230" spans="1:14" x14ac:dyDescent="0.35">
      <c r="A230" s="1" t="str">
        <f>'[8]Population Definitions'!$A$9</f>
        <v>ol_hm</v>
      </c>
      <c r="B230" s="5" t="s">
        <v>148</v>
      </c>
    </row>
    <row r="232" spans="1:14" x14ac:dyDescent="0.35">
      <c r="A232" s="1" t="s">
        <v>149</v>
      </c>
      <c r="B232" s="1"/>
      <c r="C232" s="1" t="s">
        <v>150</v>
      </c>
      <c r="D232" s="1" t="s">
        <v>28</v>
      </c>
      <c r="E232" s="1" t="s">
        <v>29</v>
      </c>
      <c r="F232" s="1" t="s">
        <v>30</v>
      </c>
      <c r="G232" s="1" t="s">
        <v>31</v>
      </c>
      <c r="H232" s="1"/>
      <c r="I232" s="1">
        <v>2020</v>
      </c>
      <c r="J232" s="1">
        <v>2021</v>
      </c>
      <c r="K232" s="1">
        <v>2022</v>
      </c>
      <c r="L232" s="1">
        <v>2023</v>
      </c>
      <c r="M232" s="1">
        <v>2024</v>
      </c>
      <c r="N232" s="1">
        <v>2025</v>
      </c>
    </row>
    <row r="233" spans="1:14" x14ac:dyDescent="0.35">
      <c r="A233" s="1" t="str">
        <f>IF($B$230="Y",'[8]Population Definitions'!$A$9,"...")</f>
        <v>ol_hm</v>
      </c>
      <c r="B233" s="4" t="str">
        <f>IF($B$230="Y","---&gt;","...")</f>
        <v>---&gt;</v>
      </c>
      <c r="C233" s="1" t="str">
        <f>IF($B$230="Y",'[8]Population Definitions'!$A$5,"...")</f>
        <v>hm_hm</v>
      </c>
      <c r="D233" t="s">
        <v>32</v>
      </c>
      <c r="E233" s="3" t="s">
        <v>120</v>
      </c>
      <c r="F233" s="3"/>
      <c r="G233" s="3">
        <v>1</v>
      </c>
      <c r="H233" s="4" t="str">
        <f>IF($B$230="Y","OR","...")</f>
        <v>OR</v>
      </c>
      <c r="I233" s="3"/>
      <c r="J233" s="3"/>
      <c r="K233" s="3"/>
      <c r="L233" s="3"/>
      <c r="M233" s="3"/>
      <c r="N233" s="3"/>
    </row>
    <row r="235" spans="1:14" x14ac:dyDescent="0.35">
      <c r="A235" s="1" t="s">
        <v>0</v>
      </c>
      <c r="B235" s="1" t="s">
        <v>1</v>
      </c>
      <c r="C235" s="1" t="s">
        <v>146</v>
      </c>
      <c r="D235" s="1" t="s">
        <v>147</v>
      </c>
    </row>
    <row r="236" spans="1:14" x14ac:dyDescent="0.35">
      <c r="A236" t="s">
        <v>158</v>
      </c>
      <c r="B236" t="s">
        <v>158</v>
      </c>
      <c r="C236" t="s">
        <v>19</v>
      </c>
      <c r="D236" t="s">
        <v>9</v>
      </c>
    </row>
    <row r="238" spans="1:14" x14ac:dyDescent="0.35">
      <c r="B238" s="1" t="str">
        <f>'[8]Population Definitions'!$A$5</f>
        <v>hm_hm</v>
      </c>
    </row>
    <row r="239" spans="1:14" x14ac:dyDescent="0.35">
      <c r="A239" s="1" t="str">
        <f>'[8]Population Definitions'!$A$12</f>
        <v>pt_hm</v>
      </c>
      <c r="B239" s="5" t="s">
        <v>148</v>
      </c>
    </row>
    <row r="241" spans="1:14" x14ac:dyDescent="0.35">
      <c r="A241" s="1" t="s">
        <v>149</v>
      </c>
      <c r="B241" s="1"/>
      <c r="C241" s="1" t="s">
        <v>150</v>
      </c>
      <c r="D241" s="1" t="s">
        <v>28</v>
      </c>
      <c r="E241" s="1" t="s">
        <v>29</v>
      </c>
      <c r="F241" s="1" t="s">
        <v>30</v>
      </c>
      <c r="G241" s="1" t="s">
        <v>31</v>
      </c>
      <c r="H241" s="1"/>
      <c r="I241" s="1">
        <v>2020</v>
      </c>
      <c r="J241" s="1">
        <v>2021</v>
      </c>
      <c r="K241" s="1">
        <v>2022</v>
      </c>
      <c r="L241" s="1">
        <v>2023</v>
      </c>
      <c r="M241" s="1">
        <v>2024</v>
      </c>
      <c r="N241" s="1">
        <v>2025</v>
      </c>
    </row>
    <row r="242" spans="1:14" x14ac:dyDescent="0.35">
      <c r="A242" s="1" t="str">
        <f>IF($B$239="Y",'[8]Population Definitions'!$A$12,"...")</f>
        <v>pt_hm</v>
      </c>
      <c r="B242" s="4" t="str">
        <f>IF($B$239="Y","---&gt;","...")</f>
        <v>---&gt;</v>
      </c>
      <c r="C242" s="1" t="str">
        <f>IF($B$239="Y",'[8]Population Definitions'!$A$5,"...")</f>
        <v>hm_hm</v>
      </c>
      <c r="D242" t="s">
        <v>32</v>
      </c>
      <c r="E242" s="3" t="s">
        <v>120</v>
      </c>
      <c r="F242" s="3"/>
      <c r="G242" s="3">
        <v>1</v>
      </c>
      <c r="H242" s="4" t="str">
        <f>IF($B$239="Y","OR","...")</f>
        <v>OR</v>
      </c>
      <c r="I242" s="3"/>
      <c r="J242" s="3"/>
      <c r="K242" s="3"/>
      <c r="L242" s="3"/>
      <c r="M242" s="3"/>
      <c r="N242" s="3"/>
    </row>
    <row r="244" spans="1:14" x14ac:dyDescent="0.35">
      <c r="A244" s="1" t="s">
        <v>0</v>
      </c>
      <c r="B244" s="1" t="s">
        <v>1</v>
      </c>
      <c r="C244" s="1" t="s">
        <v>146</v>
      </c>
      <c r="D244" s="1" t="s">
        <v>147</v>
      </c>
    </row>
    <row r="245" spans="1:14" x14ac:dyDescent="0.35">
      <c r="A245" t="s">
        <v>159</v>
      </c>
      <c r="B245" t="s">
        <v>159</v>
      </c>
      <c r="C245" t="s">
        <v>11</v>
      </c>
      <c r="D245" t="s">
        <v>9</v>
      </c>
    </row>
    <row r="247" spans="1:14" x14ac:dyDescent="0.35">
      <c r="B247" s="1" t="str">
        <f>'[8]Population Definitions'!$A$5</f>
        <v>hm_hm</v>
      </c>
    </row>
    <row r="248" spans="1:14" x14ac:dyDescent="0.35">
      <c r="A248" s="1" t="str">
        <f>'[8]Population Definitions'!$A$6</f>
        <v>msep_hm</v>
      </c>
      <c r="B248" s="5" t="s">
        <v>148</v>
      </c>
    </row>
    <row r="250" spans="1:14" x14ac:dyDescent="0.35">
      <c r="A250" s="1" t="s">
        <v>149</v>
      </c>
      <c r="B250" s="1"/>
      <c r="C250" s="1" t="s">
        <v>150</v>
      </c>
      <c r="D250" s="1" t="s">
        <v>28</v>
      </c>
      <c r="E250" s="1" t="s">
        <v>29</v>
      </c>
      <c r="F250" s="1" t="s">
        <v>30</v>
      </c>
      <c r="G250" s="1" t="s">
        <v>31</v>
      </c>
      <c r="H250" s="1"/>
      <c r="I250" s="1">
        <v>2020</v>
      </c>
      <c r="J250" s="1">
        <v>2021</v>
      </c>
      <c r="K250" s="1">
        <v>2022</v>
      </c>
      <c r="L250" s="1">
        <v>2023</v>
      </c>
      <c r="M250" s="1">
        <v>2024</v>
      </c>
      <c r="N250" s="1">
        <v>2025</v>
      </c>
    </row>
    <row r="251" spans="1:14" x14ac:dyDescent="0.35">
      <c r="A251" s="1" t="str">
        <f>IF($B$248="Y",'[8]Population Definitions'!$A$6,"...")</f>
        <v>msep_hm</v>
      </c>
      <c r="B251" s="4" t="str">
        <f>IF($B$248="Y","---&gt;","...")</f>
        <v>---&gt;</v>
      </c>
      <c r="C251" s="1" t="str">
        <f>IF($B$248="Y",'[8]Population Definitions'!$A$5,"...")</f>
        <v>hm_hm</v>
      </c>
      <c r="D251" t="s">
        <v>32</v>
      </c>
      <c r="E251" s="3" t="s">
        <v>120</v>
      </c>
      <c r="F251" s="3"/>
      <c r="G251" s="3">
        <v>1</v>
      </c>
      <c r="H251" s="4" t="str">
        <f>IF($B$248="Y","OR","...")</f>
        <v>OR</v>
      </c>
      <c r="I251" s="3"/>
      <c r="J251" s="3"/>
      <c r="K251" s="3"/>
      <c r="L251" s="3"/>
      <c r="M251" s="3"/>
      <c r="N251" s="3"/>
    </row>
    <row r="253" spans="1:14" x14ac:dyDescent="0.35">
      <c r="A253" s="1" t="s">
        <v>0</v>
      </c>
      <c r="B253" s="1" t="s">
        <v>1</v>
      </c>
      <c r="C253" s="1" t="s">
        <v>146</v>
      </c>
      <c r="D253" s="1" t="s">
        <v>147</v>
      </c>
    </row>
    <row r="254" spans="1:14" x14ac:dyDescent="0.35">
      <c r="A254" t="s">
        <v>342</v>
      </c>
      <c r="B254" t="s">
        <v>342</v>
      </c>
      <c r="C254" t="s">
        <v>337</v>
      </c>
      <c r="D254" t="s">
        <v>9</v>
      </c>
    </row>
    <row r="256" spans="1:14" x14ac:dyDescent="0.35">
      <c r="B256" s="1" t="str">
        <f>'[8]Population Definitions'!$A$5</f>
        <v>hm_hm</v>
      </c>
    </row>
    <row r="257" spans="1:14" x14ac:dyDescent="0.35">
      <c r="A257" s="1" t="str">
        <f>'[8]Population Definitions'!$A$8</f>
        <v>mnut_hm</v>
      </c>
      <c r="B257" s="5" t="s">
        <v>148</v>
      </c>
    </row>
    <row r="259" spans="1:14" x14ac:dyDescent="0.35">
      <c r="A259" s="1" t="s">
        <v>149</v>
      </c>
      <c r="B259" s="1"/>
      <c r="C259" s="1" t="s">
        <v>150</v>
      </c>
      <c r="D259" s="1" t="s">
        <v>28</v>
      </c>
      <c r="E259" s="1" t="s">
        <v>29</v>
      </c>
      <c r="F259" s="1" t="s">
        <v>30</v>
      </c>
      <c r="G259" s="1" t="s">
        <v>31</v>
      </c>
      <c r="H259" s="1"/>
      <c r="I259" s="1">
        <v>2020</v>
      </c>
      <c r="J259" s="1">
        <v>2021</v>
      </c>
      <c r="K259" s="1">
        <v>2022</v>
      </c>
      <c r="L259" s="1">
        <v>2023</v>
      </c>
      <c r="M259" s="1">
        <v>2024</v>
      </c>
      <c r="N259" s="1">
        <v>2025</v>
      </c>
    </row>
    <row r="260" spans="1:14" x14ac:dyDescent="0.35">
      <c r="A260" s="1" t="str">
        <f>IF($B$257="Y",'[8]Population Definitions'!$A$8,"...")</f>
        <v>mnut_hm</v>
      </c>
      <c r="B260" s="4" t="str">
        <f>IF($B$257="Y","---&gt;","...")</f>
        <v>---&gt;</v>
      </c>
      <c r="C260" s="1" t="str">
        <f>IF($B$257="Y",'[8]Population Definitions'!$A$5,"...")</f>
        <v>hm_hm</v>
      </c>
      <c r="D260" t="s">
        <v>32</v>
      </c>
      <c r="E260" s="3" t="s">
        <v>120</v>
      </c>
      <c r="F260" s="3"/>
      <c r="G260" s="3">
        <v>1</v>
      </c>
      <c r="H260" s="4" t="str">
        <f>IF($B$257="Y","OR","...")</f>
        <v>OR</v>
      </c>
      <c r="I260" s="3"/>
      <c r="J260" s="3"/>
      <c r="K260" s="3"/>
      <c r="L260" s="3"/>
      <c r="M260" s="3"/>
      <c r="N260" s="3"/>
    </row>
    <row r="262" spans="1:14" x14ac:dyDescent="0.35">
      <c r="A262" s="1" t="s">
        <v>0</v>
      </c>
      <c r="B262" s="1" t="s">
        <v>1</v>
      </c>
      <c r="C262" s="1" t="s">
        <v>146</v>
      </c>
      <c r="D262" s="1" t="s">
        <v>147</v>
      </c>
    </row>
    <row r="263" spans="1:14" x14ac:dyDescent="0.35">
      <c r="A263" t="s">
        <v>160</v>
      </c>
      <c r="B263" t="s">
        <v>160</v>
      </c>
      <c r="C263" t="s">
        <v>3</v>
      </c>
      <c r="D263" t="s">
        <v>11</v>
      </c>
    </row>
    <row r="265" spans="1:14" x14ac:dyDescent="0.35">
      <c r="B265" s="1" t="str">
        <f>'[8]Population Definitions'!$A$6</f>
        <v>msep_hm</v>
      </c>
    </row>
    <row r="266" spans="1:14" x14ac:dyDescent="0.35">
      <c r="A266" s="1" t="str">
        <f>'[8]Population Definitions'!$A$2</f>
        <v>anc_hm</v>
      </c>
      <c r="B266" s="5" t="s">
        <v>148</v>
      </c>
    </row>
    <row r="268" spans="1:14" x14ac:dyDescent="0.35">
      <c r="A268" s="1" t="s">
        <v>149</v>
      </c>
      <c r="B268" s="1"/>
      <c r="C268" s="1" t="s">
        <v>150</v>
      </c>
      <c r="D268" s="1" t="s">
        <v>28</v>
      </c>
      <c r="E268" s="1" t="s">
        <v>29</v>
      </c>
      <c r="F268" s="1" t="s">
        <v>30</v>
      </c>
      <c r="G268" s="1" t="s">
        <v>31</v>
      </c>
      <c r="H268" s="1"/>
      <c r="I268" s="1">
        <v>2020</v>
      </c>
      <c r="J268" s="1">
        <v>2021</v>
      </c>
      <c r="K268" s="1">
        <v>2022</v>
      </c>
      <c r="L268" s="1">
        <v>2023</v>
      </c>
      <c r="M268" s="1">
        <v>2024</v>
      </c>
      <c r="N268" s="1">
        <v>2025</v>
      </c>
    </row>
    <row r="269" spans="1:14" x14ac:dyDescent="0.35">
      <c r="A269" s="1" t="str">
        <f>IF($B$266="Y",'[8]Population Definitions'!$A$2,"...")</f>
        <v>anc_hm</v>
      </c>
      <c r="B269" s="4" t="str">
        <f>IF($B$266="Y","---&gt;","...")</f>
        <v>---&gt;</v>
      </c>
      <c r="C269" s="1" t="str">
        <f>IF($B$266="Y",'[8]Population Definitions'!$A$6,"...")</f>
        <v>msep_hm</v>
      </c>
      <c r="D269" t="s">
        <v>32</v>
      </c>
      <c r="E269" s="3" t="s">
        <v>120</v>
      </c>
      <c r="F269" s="3"/>
      <c r="G269" s="3">
        <v>1</v>
      </c>
      <c r="H269" s="4" t="str">
        <f>IF($B$266="Y","OR","...")</f>
        <v>OR</v>
      </c>
      <c r="I269" s="3"/>
      <c r="J269" s="3"/>
      <c r="K269" s="3"/>
      <c r="L269" s="3"/>
      <c r="M269" s="3"/>
      <c r="N269" s="3"/>
    </row>
    <row r="271" spans="1:14" x14ac:dyDescent="0.35">
      <c r="A271" s="1" t="s">
        <v>0</v>
      </c>
      <c r="B271" s="1" t="s">
        <v>1</v>
      </c>
      <c r="C271" s="1" t="s">
        <v>146</v>
      </c>
      <c r="D271" s="1" t="s">
        <v>147</v>
      </c>
    </row>
    <row r="272" spans="1:14" x14ac:dyDescent="0.35">
      <c r="A272" t="s">
        <v>161</v>
      </c>
      <c r="B272" t="s">
        <v>161</v>
      </c>
      <c r="C272" t="s">
        <v>13</v>
      </c>
      <c r="D272" t="s">
        <v>11</v>
      </c>
    </row>
    <row r="274" spans="1:14" x14ac:dyDescent="0.35">
      <c r="B274" s="1" t="str">
        <f>'[8]Population Definitions'!$A$6</f>
        <v>msep_hm</v>
      </c>
    </row>
    <row r="275" spans="1:14" x14ac:dyDescent="0.35">
      <c r="A275" s="1" t="str">
        <f>'[8]Population Definitions'!$A$9</f>
        <v>ol_hm</v>
      </c>
      <c r="B275" s="5" t="s">
        <v>148</v>
      </c>
    </row>
    <row r="277" spans="1:14" x14ac:dyDescent="0.35">
      <c r="A277" s="1" t="s">
        <v>149</v>
      </c>
      <c r="B277" s="1"/>
      <c r="C277" s="1" t="s">
        <v>150</v>
      </c>
      <c r="D277" s="1" t="s">
        <v>28</v>
      </c>
      <c r="E277" s="1" t="s">
        <v>29</v>
      </c>
      <c r="F277" s="1" t="s">
        <v>30</v>
      </c>
      <c r="G277" s="1" t="s">
        <v>31</v>
      </c>
      <c r="H277" s="1"/>
      <c r="I277" s="1">
        <v>2020</v>
      </c>
      <c r="J277" s="1">
        <v>2021</v>
      </c>
      <c r="K277" s="1">
        <v>2022</v>
      </c>
      <c r="L277" s="1">
        <v>2023</v>
      </c>
      <c r="M277" s="1">
        <v>2024</v>
      </c>
      <c r="N277" s="1">
        <v>2025</v>
      </c>
    </row>
    <row r="278" spans="1:14" x14ac:dyDescent="0.35">
      <c r="A278" s="1" t="str">
        <f>IF($B$275="Y",'[8]Population Definitions'!$A$9,"...")</f>
        <v>ol_hm</v>
      </c>
      <c r="B278" s="4" t="str">
        <f>IF($B$275="Y","---&gt;","...")</f>
        <v>---&gt;</v>
      </c>
      <c r="C278" s="1" t="str">
        <f>IF($B$275="Y",'[8]Population Definitions'!$A$6,"...")</f>
        <v>msep_hm</v>
      </c>
      <c r="D278" t="s">
        <v>32</v>
      </c>
      <c r="E278" s="3" t="s">
        <v>120</v>
      </c>
      <c r="F278" s="3"/>
      <c r="G278" s="3">
        <v>1</v>
      </c>
      <c r="H278" s="4" t="str">
        <f>IF($B$275="Y","OR","...")</f>
        <v>OR</v>
      </c>
      <c r="I278" s="3"/>
      <c r="J278" s="3"/>
      <c r="K278" s="3"/>
      <c r="L278" s="3"/>
      <c r="M278" s="3"/>
      <c r="N278" s="3"/>
    </row>
    <row r="280" spans="1:14" x14ac:dyDescent="0.35">
      <c r="A280" s="1" t="s">
        <v>0</v>
      </c>
      <c r="B280" s="1" t="s">
        <v>1</v>
      </c>
      <c r="C280" s="1" t="s">
        <v>146</v>
      </c>
      <c r="D280" s="1" t="s">
        <v>147</v>
      </c>
    </row>
    <row r="281" spans="1:14" x14ac:dyDescent="0.35">
      <c r="A281" t="s">
        <v>162</v>
      </c>
      <c r="B281" t="s">
        <v>162</v>
      </c>
      <c r="C281" t="s">
        <v>9</v>
      </c>
      <c r="D281" t="s">
        <v>11</v>
      </c>
    </row>
    <row r="283" spans="1:14" x14ac:dyDescent="0.35">
      <c r="B283" s="1" t="str">
        <f>'[8]Population Definitions'!$A$6</f>
        <v>msep_hm</v>
      </c>
    </row>
    <row r="284" spans="1:14" x14ac:dyDescent="0.35">
      <c r="A284" s="1" t="str">
        <f>'[8]Population Definitions'!$A$5</f>
        <v>hm_hm</v>
      </c>
      <c r="B284" s="5" t="s">
        <v>148</v>
      </c>
    </row>
    <row r="286" spans="1:14" x14ac:dyDescent="0.35">
      <c r="A286" s="1" t="s">
        <v>149</v>
      </c>
      <c r="B286" s="1"/>
      <c r="C286" s="1" t="s">
        <v>150</v>
      </c>
      <c r="D286" s="1" t="s">
        <v>28</v>
      </c>
      <c r="E286" s="1" t="s">
        <v>29</v>
      </c>
      <c r="F286" s="1" t="s">
        <v>30</v>
      </c>
      <c r="G286" s="1" t="s">
        <v>31</v>
      </c>
      <c r="H286" s="1"/>
      <c r="I286" s="1">
        <v>2020</v>
      </c>
      <c r="J286" s="1">
        <v>2021</v>
      </c>
      <c r="K286" s="1">
        <v>2022</v>
      </c>
      <c r="L286" s="1">
        <v>2023</v>
      </c>
      <c r="M286" s="1">
        <v>2024</v>
      </c>
      <c r="N286" s="1">
        <v>2025</v>
      </c>
    </row>
    <row r="287" spans="1:14" x14ac:dyDescent="0.35">
      <c r="A287" s="1" t="str">
        <f>IF($B$284="Y",'[8]Population Definitions'!$A$5,"...")</f>
        <v>hm_hm</v>
      </c>
      <c r="B287" s="4" t="str">
        <f>IF($B$284="Y","---&gt;","...")</f>
        <v>---&gt;</v>
      </c>
      <c r="C287" s="1" t="str">
        <f>IF($B$284="Y",'[8]Population Definitions'!$A$6,"...")</f>
        <v>msep_hm</v>
      </c>
      <c r="D287" t="s">
        <v>32</v>
      </c>
      <c r="E287" s="3" t="s">
        <v>120</v>
      </c>
      <c r="F287" s="3"/>
      <c r="G287" s="3">
        <v>1</v>
      </c>
      <c r="H287" s="4" t="str">
        <f>IF($B$284="Y","OR","...")</f>
        <v>OR</v>
      </c>
      <c r="I287" s="3"/>
      <c r="J287" s="3"/>
      <c r="K287" s="3"/>
      <c r="L287" s="3"/>
      <c r="M287" s="3"/>
      <c r="N287" s="3"/>
    </row>
    <row r="289" spans="1:14" x14ac:dyDescent="0.35">
      <c r="A289" s="1" t="s">
        <v>0</v>
      </c>
      <c r="B289" s="1" t="s">
        <v>1</v>
      </c>
      <c r="C289" s="1" t="s">
        <v>146</v>
      </c>
      <c r="D289" s="1" t="s">
        <v>147</v>
      </c>
    </row>
    <row r="290" spans="1:14" x14ac:dyDescent="0.35">
      <c r="A290" t="s">
        <v>163</v>
      </c>
      <c r="B290" t="s">
        <v>163</v>
      </c>
      <c r="C290" t="s">
        <v>11</v>
      </c>
      <c r="D290" t="s">
        <v>11</v>
      </c>
    </row>
    <row r="292" spans="1:14" x14ac:dyDescent="0.35">
      <c r="B292" s="1" t="str">
        <f>'[8]Population Definitions'!$A$6</f>
        <v>msep_hm</v>
      </c>
    </row>
    <row r="293" spans="1:14" x14ac:dyDescent="0.35">
      <c r="A293" s="1" t="str">
        <f>'[8]Population Definitions'!$A$6</f>
        <v>msep_hm</v>
      </c>
      <c r="B293" s="5" t="s">
        <v>148</v>
      </c>
    </row>
    <row r="295" spans="1:14" x14ac:dyDescent="0.35">
      <c r="A295" s="1" t="s">
        <v>149</v>
      </c>
      <c r="B295" s="1"/>
      <c r="C295" s="1" t="s">
        <v>150</v>
      </c>
      <c r="D295" s="1" t="s">
        <v>28</v>
      </c>
      <c r="E295" s="1" t="s">
        <v>29</v>
      </c>
      <c r="F295" s="1" t="s">
        <v>30</v>
      </c>
      <c r="G295" s="1" t="s">
        <v>31</v>
      </c>
      <c r="H295" s="1"/>
      <c r="I295" s="1">
        <v>2020</v>
      </c>
      <c r="J295" s="1">
        <v>2021</v>
      </c>
      <c r="K295" s="1">
        <v>2022</v>
      </c>
      <c r="L295" s="1">
        <v>2023</v>
      </c>
      <c r="M295" s="1">
        <v>2024</v>
      </c>
      <c r="N295" s="1">
        <v>2025</v>
      </c>
    </row>
    <row r="296" spans="1:14" x14ac:dyDescent="0.35">
      <c r="A296" s="1" t="str">
        <f>IF($B$293="Y",'[8]Population Definitions'!$A$6,"...")</f>
        <v>msep_hm</v>
      </c>
      <c r="B296" s="4" t="str">
        <f>IF($B$293="Y","---&gt;","...")</f>
        <v>---&gt;</v>
      </c>
      <c r="C296" s="1" t="str">
        <f>IF($B$293="Y",'[8]Population Definitions'!$A$6,"...")</f>
        <v>msep_hm</v>
      </c>
      <c r="D296" t="s">
        <v>32</v>
      </c>
      <c r="E296" s="3" t="s">
        <v>120</v>
      </c>
      <c r="F296" s="3"/>
      <c r="G296" s="3">
        <v>1</v>
      </c>
      <c r="H296" s="4" t="str">
        <f>IF($B$293="Y","OR","...")</f>
        <v>OR</v>
      </c>
      <c r="I296" s="3"/>
      <c r="J296" s="3"/>
      <c r="K296" s="3"/>
      <c r="L296" s="3"/>
      <c r="M296" s="3"/>
      <c r="N296" s="3"/>
    </row>
    <row r="298" spans="1:14" x14ac:dyDescent="0.35">
      <c r="A298" s="1" t="s">
        <v>0</v>
      </c>
      <c r="B298" s="1" t="s">
        <v>1</v>
      </c>
      <c r="C298" s="1" t="s">
        <v>146</v>
      </c>
      <c r="D298" s="1" t="s">
        <v>147</v>
      </c>
    </row>
    <row r="299" spans="1:14" x14ac:dyDescent="0.35">
      <c r="A299" t="s">
        <v>192</v>
      </c>
      <c r="B299" t="s">
        <v>192</v>
      </c>
      <c r="C299" t="s">
        <v>7</v>
      </c>
      <c r="D299" t="s">
        <v>11</v>
      </c>
    </row>
    <row r="301" spans="1:14" x14ac:dyDescent="0.35">
      <c r="B301" s="1" t="str">
        <f>'[8]Population Definitions'!$A$6</f>
        <v>msep_hm</v>
      </c>
    </row>
    <row r="302" spans="1:14" x14ac:dyDescent="0.35">
      <c r="A302" s="1" t="str">
        <f>'[8]Population Definitions'!$A$4</f>
        <v>an_hm</v>
      </c>
      <c r="B302" s="5" t="s">
        <v>148</v>
      </c>
    </row>
    <row r="304" spans="1:14" x14ac:dyDescent="0.35">
      <c r="A304" s="1" t="s">
        <v>149</v>
      </c>
      <c r="B304" s="1"/>
      <c r="C304" s="1" t="s">
        <v>150</v>
      </c>
      <c r="D304" s="1" t="s">
        <v>28</v>
      </c>
      <c r="E304" s="1" t="s">
        <v>29</v>
      </c>
      <c r="F304" s="1" t="s">
        <v>30</v>
      </c>
      <c r="G304" s="1" t="s">
        <v>31</v>
      </c>
      <c r="H304" s="1"/>
      <c r="I304" s="1">
        <v>2020</v>
      </c>
      <c r="J304" s="1">
        <v>2021</v>
      </c>
      <c r="K304" s="1">
        <v>2022</v>
      </c>
      <c r="L304" s="1">
        <v>2023</v>
      </c>
      <c r="M304" s="1">
        <v>2024</v>
      </c>
      <c r="N304" s="1">
        <v>2025</v>
      </c>
    </row>
    <row r="305" spans="1:14" x14ac:dyDescent="0.35">
      <c r="A305" s="1" t="str">
        <f>IF($B$302="Y",'[8]Population Definitions'!$A$4,"...")</f>
        <v>an_hm</v>
      </c>
      <c r="B305" s="4" t="str">
        <f>IF($B$302="Y","---&gt;","...")</f>
        <v>---&gt;</v>
      </c>
      <c r="C305" s="1" t="str">
        <f>IF($B$302="Y",'[8]Population Definitions'!$A$6,"...")</f>
        <v>msep_hm</v>
      </c>
      <c r="D305" t="s">
        <v>32</v>
      </c>
      <c r="E305" s="3" t="s">
        <v>120</v>
      </c>
      <c r="F305" s="3"/>
      <c r="G305" s="3">
        <v>1</v>
      </c>
      <c r="H305" s="4" t="str">
        <f>IF($B$302="Y","OR","...")</f>
        <v>OR</v>
      </c>
      <c r="I305" s="3"/>
      <c r="J305" s="3"/>
      <c r="K305" s="3"/>
      <c r="L305" s="3"/>
      <c r="M305" s="3"/>
      <c r="N305" s="3"/>
    </row>
    <row r="307" spans="1:14" x14ac:dyDescent="0.35">
      <c r="A307" s="1" t="s">
        <v>0</v>
      </c>
      <c r="B307" s="1" t="s">
        <v>1</v>
      </c>
      <c r="C307" s="1" t="s">
        <v>146</v>
      </c>
      <c r="D307" s="1" t="s">
        <v>147</v>
      </c>
    </row>
    <row r="308" spans="1:14" x14ac:dyDescent="0.35">
      <c r="A308" t="s">
        <v>343</v>
      </c>
      <c r="B308" t="s">
        <v>343</v>
      </c>
      <c r="C308" t="s">
        <v>337</v>
      </c>
      <c r="D308" t="s">
        <v>11</v>
      </c>
    </row>
    <row r="310" spans="1:14" x14ac:dyDescent="0.35">
      <c r="B310" s="1" t="str">
        <f>'[8]Population Definitions'!$A$6</f>
        <v>msep_hm</v>
      </c>
    </row>
    <row r="311" spans="1:14" x14ac:dyDescent="0.35">
      <c r="A311" s="1" t="str">
        <f>'[8]Population Definitions'!$A$8</f>
        <v>mnut_hm</v>
      </c>
      <c r="B311" s="5" t="s">
        <v>148</v>
      </c>
    </row>
    <row r="313" spans="1:14" x14ac:dyDescent="0.35">
      <c r="A313" s="1" t="s">
        <v>149</v>
      </c>
      <c r="B313" s="1"/>
      <c r="C313" s="1" t="s">
        <v>150</v>
      </c>
      <c r="D313" s="1" t="s">
        <v>28</v>
      </c>
      <c r="E313" s="1" t="s">
        <v>29</v>
      </c>
      <c r="F313" s="1" t="s">
        <v>30</v>
      </c>
      <c r="G313" s="1" t="s">
        <v>31</v>
      </c>
      <c r="H313" s="1"/>
      <c r="I313" s="1">
        <v>2020</v>
      </c>
      <c r="J313" s="1">
        <v>2021</v>
      </c>
      <c r="K313" s="1">
        <v>2022</v>
      </c>
      <c r="L313" s="1">
        <v>2023</v>
      </c>
      <c r="M313" s="1">
        <v>2024</v>
      </c>
      <c r="N313" s="1">
        <v>2025</v>
      </c>
    </row>
    <row r="314" spans="1:14" x14ac:dyDescent="0.35">
      <c r="A314" s="1" t="str">
        <f>IF($B$311="Y",'[8]Population Definitions'!$A$8,"...")</f>
        <v>mnut_hm</v>
      </c>
      <c r="B314" s="4" t="str">
        <f>IF($B$311="Y","---&gt;","...")</f>
        <v>---&gt;</v>
      </c>
      <c r="C314" s="1" t="str">
        <f>IF($B$311="Y",'[8]Population Definitions'!$A$6,"...")</f>
        <v>msep_hm</v>
      </c>
      <c r="D314" t="s">
        <v>32</v>
      </c>
      <c r="E314" s="3" t="s">
        <v>120</v>
      </c>
      <c r="F314" s="3"/>
      <c r="G314" s="3">
        <v>1</v>
      </c>
      <c r="H314" s="4" t="str">
        <f>IF($B$311="Y","OR","...")</f>
        <v>OR</v>
      </c>
      <c r="I314" s="3"/>
      <c r="J314" s="3"/>
      <c r="K314" s="3"/>
      <c r="L314" s="3"/>
      <c r="M314" s="3"/>
      <c r="N314" s="3"/>
    </row>
    <row r="316" spans="1:14" x14ac:dyDescent="0.35">
      <c r="A316" s="1" t="s">
        <v>0</v>
      </c>
      <c r="B316" s="1" t="s">
        <v>1</v>
      </c>
      <c r="C316" s="1" t="s">
        <v>146</v>
      </c>
      <c r="D316" s="1" t="s">
        <v>147</v>
      </c>
    </row>
    <row r="317" spans="1:14" x14ac:dyDescent="0.35">
      <c r="A317" t="s">
        <v>344</v>
      </c>
      <c r="B317" t="s">
        <v>344</v>
      </c>
      <c r="C317" t="s">
        <v>3</v>
      </c>
      <c r="D317" t="s">
        <v>335</v>
      </c>
    </row>
    <row r="319" spans="1:14" x14ac:dyDescent="0.35">
      <c r="B319" s="1" t="str">
        <f>'[8]Population Definitions'!$A$7</f>
        <v>preecl_hm</v>
      </c>
    </row>
    <row r="320" spans="1:14" x14ac:dyDescent="0.35">
      <c r="A320" s="1" t="str">
        <f>'[8]Population Definitions'!$A$2</f>
        <v>anc_hm</v>
      </c>
      <c r="B320" s="5" t="s">
        <v>148</v>
      </c>
    </row>
    <row r="322" spans="1:14" x14ac:dyDescent="0.35">
      <c r="A322" s="1" t="s">
        <v>149</v>
      </c>
      <c r="B322" s="1"/>
      <c r="C322" s="1" t="s">
        <v>150</v>
      </c>
      <c r="D322" s="1" t="s">
        <v>28</v>
      </c>
      <c r="E322" s="1" t="s">
        <v>29</v>
      </c>
      <c r="F322" s="1" t="s">
        <v>30</v>
      </c>
      <c r="G322" s="1" t="s">
        <v>31</v>
      </c>
      <c r="H322" s="1"/>
      <c r="I322" s="1">
        <v>2020</v>
      </c>
      <c r="J322" s="1">
        <v>2021</v>
      </c>
      <c r="K322" s="1">
        <v>2022</v>
      </c>
      <c r="L322" s="1">
        <v>2023</v>
      </c>
      <c r="M322" s="1">
        <v>2024</v>
      </c>
      <c r="N322" s="1">
        <v>2025</v>
      </c>
    </row>
    <row r="323" spans="1:14" x14ac:dyDescent="0.35">
      <c r="A323" s="1" t="str">
        <f>IF($B$320="Y",'[8]Population Definitions'!$A$2,"...")</f>
        <v>anc_hm</v>
      </c>
      <c r="B323" s="4" t="str">
        <f>IF($B$320="Y","---&gt;","...")</f>
        <v>---&gt;</v>
      </c>
      <c r="C323" s="1" t="str">
        <f>IF($B$320="Y",'[8]Population Definitions'!$A$7,"...")</f>
        <v>preecl_hm</v>
      </c>
      <c r="D323" t="s">
        <v>32</v>
      </c>
      <c r="E323" s="3" t="s">
        <v>120</v>
      </c>
      <c r="F323" s="3"/>
      <c r="G323" s="3">
        <v>1</v>
      </c>
      <c r="H323" s="4" t="str">
        <f>IF($B$320="Y","OR","...")</f>
        <v>OR</v>
      </c>
      <c r="I323" s="3"/>
      <c r="J323" s="3"/>
      <c r="K323" s="3"/>
      <c r="L323" s="3"/>
      <c r="M323" s="3"/>
      <c r="N323" s="3"/>
    </row>
    <row r="325" spans="1:14" x14ac:dyDescent="0.35">
      <c r="A325" s="1" t="s">
        <v>0</v>
      </c>
      <c r="B325" s="1" t="s">
        <v>1</v>
      </c>
      <c r="C325" s="1" t="s">
        <v>146</v>
      </c>
      <c r="D325" s="1" t="s">
        <v>147</v>
      </c>
    </row>
    <row r="326" spans="1:14" x14ac:dyDescent="0.35">
      <c r="A326" t="s">
        <v>345</v>
      </c>
      <c r="B326" t="s">
        <v>345</v>
      </c>
      <c r="C326" t="s">
        <v>3</v>
      </c>
      <c r="D326" t="s">
        <v>337</v>
      </c>
    </row>
    <row r="328" spans="1:14" x14ac:dyDescent="0.35">
      <c r="B328" s="1" t="str">
        <f>'[8]Population Definitions'!$A$8</f>
        <v>mnut_hm</v>
      </c>
    </row>
    <row r="329" spans="1:14" x14ac:dyDescent="0.35">
      <c r="A329" s="1" t="str">
        <f>'[8]Population Definitions'!$A$2</f>
        <v>anc_hm</v>
      </c>
      <c r="B329" s="5" t="s">
        <v>148</v>
      </c>
    </row>
    <row r="331" spans="1:14" x14ac:dyDescent="0.35">
      <c r="A331" s="1" t="s">
        <v>149</v>
      </c>
      <c r="B331" s="1"/>
      <c r="C331" s="1" t="s">
        <v>150</v>
      </c>
      <c r="D331" s="1" t="s">
        <v>28</v>
      </c>
      <c r="E331" s="1" t="s">
        <v>29</v>
      </c>
      <c r="F331" s="1" t="s">
        <v>30</v>
      </c>
      <c r="G331" s="1" t="s">
        <v>31</v>
      </c>
      <c r="H331" s="1"/>
      <c r="I331" s="1">
        <v>2020</v>
      </c>
      <c r="J331" s="1">
        <v>2021</v>
      </c>
      <c r="K331" s="1">
        <v>2022</v>
      </c>
      <c r="L331" s="1">
        <v>2023</v>
      </c>
      <c r="M331" s="1">
        <v>2024</v>
      </c>
      <c r="N331" s="1">
        <v>2025</v>
      </c>
    </row>
    <row r="332" spans="1:14" x14ac:dyDescent="0.35">
      <c r="A332" s="1" t="str">
        <f>IF($B$329="Y",'[8]Population Definitions'!$A$2,"...")</f>
        <v>anc_hm</v>
      </c>
      <c r="B332" s="4" t="str">
        <f>IF($B$329="Y","---&gt;","...")</f>
        <v>---&gt;</v>
      </c>
      <c r="C332" s="1" t="str">
        <f>IF($B$329="Y",'[8]Population Definitions'!$A$8,"...")</f>
        <v>mnut_hm</v>
      </c>
      <c r="D332" t="s">
        <v>32</v>
      </c>
      <c r="E332" s="3" t="s">
        <v>120</v>
      </c>
      <c r="F332" s="3"/>
      <c r="G332" s="3">
        <v>1</v>
      </c>
      <c r="H332" s="4" t="str">
        <f>IF($B$329="Y","OR","...")</f>
        <v>OR</v>
      </c>
      <c r="I332" s="3"/>
      <c r="J332" s="3"/>
      <c r="K332" s="3"/>
      <c r="L332" s="3"/>
      <c r="M332" s="3"/>
      <c r="N332" s="3"/>
    </row>
    <row r="334" spans="1:14" x14ac:dyDescent="0.35">
      <c r="A334" s="1" t="s">
        <v>0</v>
      </c>
      <c r="B334" s="1" t="s">
        <v>1</v>
      </c>
      <c r="C334" s="1" t="s">
        <v>146</v>
      </c>
      <c r="D334" s="1" t="s">
        <v>147</v>
      </c>
    </row>
    <row r="335" spans="1:14" x14ac:dyDescent="0.35">
      <c r="A335" t="s">
        <v>346</v>
      </c>
      <c r="B335" t="s">
        <v>346</v>
      </c>
      <c r="C335" t="s">
        <v>13</v>
      </c>
      <c r="D335" t="s">
        <v>337</v>
      </c>
    </row>
    <row r="337" spans="1:14" x14ac:dyDescent="0.35">
      <c r="B337" s="1" t="str">
        <f>'[8]Population Definitions'!$A$8</f>
        <v>mnut_hm</v>
      </c>
    </row>
    <row r="338" spans="1:14" x14ac:dyDescent="0.35">
      <c r="A338" s="1" t="str">
        <f>'[8]Population Definitions'!$A$9</f>
        <v>ol_hm</v>
      </c>
      <c r="B338" s="5" t="s">
        <v>148</v>
      </c>
    </row>
    <row r="340" spans="1:14" x14ac:dyDescent="0.35">
      <c r="A340" s="1" t="s">
        <v>149</v>
      </c>
      <c r="B340" s="1"/>
      <c r="C340" s="1" t="s">
        <v>150</v>
      </c>
      <c r="D340" s="1" t="s">
        <v>28</v>
      </c>
      <c r="E340" s="1" t="s">
        <v>29</v>
      </c>
      <c r="F340" s="1" t="s">
        <v>30</v>
      </c>
      <c r="G340" s="1" t="s">
        <v>31</v>
      </c>
      <c r="H340" s="1"/>
      <c r="I340" s="1">
        <v>2020</v>
      </c>
      <c r="J340" s="1">
        <v>2021</v>
      </c>
      <c r="K340" s="1">
        <v>2022</v>
      </c>
      <c r="L340" s="1">
        <v>2023</v>
      </c>
      <c r="M340" s="1">
        <v>2024</v>
      </c>
      <c r="N340" s="1">
        <v>2025</v>
      </c>
    </row>
    <row r="341" spans="1:14" x14ac:dyDescent="0.35">
      <c r="A341" s="1" t="str">
        <f>IF($B$338="Y",'[8]Population Definitions'!$A$9,"...")</f>
        <v>ol_hm</v>
      </c>
      <c r="B341" s="4" t="str">
        <f>IF($B$338="Y","---&gt;","...")</f>
        <v>---&gt;</v>
      </c>
      <c r="C341" s="1" t="str">
        <f>IF($B$338="Y",'[8]Population Definitions'!$A$8,"...")</f>
        <v>mnut_hm</v>
      </c>
      <c r="D341" t="s">
        <v>32</v>
      </c>
      <c r="E341" s="3" t="s">
        <v>120</v>
      </c>
      <c r="F341" s="3"/>
      <c r="G341" s="3">
        <v>1</v>
      </c>
      <c r="H341" s="4" t="str">
        <f>IF($B$338="Y","OR","...")</f>
        <v>OR</v>
      </c>
      <c r="I341" s="3"/>
      <c r="J341" s="3"/>
      <c r="K341" s="3"/>
      <c r="L341" s="3"/>
      <c r="M341" s="3"/>
      <c r="N341" s="3"/>
    </row>
    <row r="343" spans="1:14" x14ac:dyDescent="0.35">
      <c r="A343" s="1" t="s">
        <v>0</v>
      </c>
      <c r="B343" s="1" t="s">
        <v>1</v>
      </c>
      <c r="C343" s="1" t="s">
        <v>146</v>
      </c>
      <c r="D343" s="1" t="s">
        <v>147</v>
      </c>
    </row>
    <row r="344" spans="1:14" x14ac:dyDescent="0.35">
      <c r="A344" t="s">
        <v>347</v>
      </c>
      <c r="B344" t="s">
        <v>347</v>
      </c>
      <c r="C344" t="s">
        <v>9</v>
      </c>
      <c r="D344" t="s">
        <v>337</v>
      </c>
    </row>
    <row r="346" spans="1:14" x14ac:dyDescent="0.35">
      <c r="B346" s="1" t="str">
        <f>'[8]Population Definitions'!$A$8</f>
        <v>mnut_hm</v>
      </c>
    </row>
    <row r="347" spans="1:14" x14ac:dyDescent="0.35">
      <c r="A347" s="1" t="str">
        <f>'[8]Population Definitions'!$A$5</f>
        <v>hm_hm</v>
      </c>
      <c r="B347" s="5" t="s">
        <v>148</v>
      </c>
    </row>
    <row r="349" spans="1:14" x14ac:dyDescent="0.35">
      <c r="A349" s="1" t="s">
        <v>149</v>
      </c>
      <c r="B349" s="1"/>
      <c r="C349" s="1" t="s">
        <v>150</v>
      </c>
      <c r="D349" s="1" t="s">
        <v>28</v>
      </c>
      <c r="E349" s="1" t="s">
        <v>29</v>
      </c>
      <c r="F349" s="1" t="s">
        <v>30</v>
      </c>
      <c r="G349" s="1" t="s">
        <v>31</v>
      </c>
      <c r="H349" s="1"/>
      <c r="I349" s="1">
        <v>2020</v>
      </c>
      <c r="J349" s="1">
        <v>2021</v>
      </c>
      <c r="K349" s="1">
        <v>2022</v>
      </c>
      <c r="L349" s="1">
        <v>2023</v>
      </c>
      <c r="M349" s="1">
        <v>2024</v>
      </c>
      <c r="N349" s="1">
        <v>2025</v>
      </c>
    </row>
    <row r="350" spans="1:14" x14ac:dyDescent="0.35">
      <c r="A350" s="1" t="str">
        <f>IF($B$347="Y",'[8]Population Definitions'!$A$5,"...")</f>
        <v>hm_hm</v>
      </c>
      <c r="B350" s="4" t="str">
        <f>IF($B$347="Y","---&gt;","...")</f>
        <v>---&gt;</v>
      </c>
      <c r="C350" s="1" t="str">
        <f>IF($B$347="Y",'[8]Population Definitions'!$A$8,"...")</f>
        <v>mnut_hm</v>
      </c>
      <c r="D350" t="s">
        <v>32</v>
      </c>
      <c r="E350" s="3" t="s">
        <v>120</v>
      </c>
      <c r="F350" s="3"/>
      <c r="G350" s="3">
        <v>1</v>
      </c>
      <c r="H350" s="4" t="str">
        <f>IF($B$347="Y","OR","...")</f>
        <v>OR</v>
      </c>
      <c r="I350" s="3"/>
      <c r="J350" s="3"/>
      <c r="K350" s="3"/>
      <c r="L350" s="3"/>
      <c r="M350" s="3"/>
      <c r="N350" s="3"/>
    </row>
    <row r="352" spans="1:14" x14ac:dyDescent="0.35">
      <c r="A352" s="1" t="s">
        <v>0</v>
      </c>
      <c r="B352" s="1" t="s">
        <v>1</v>
      </c>
      <c r="C352" s="1" t="s">
        <v>146</v>
      </c>
      <c r="D352" s="1" t="s">
        <v>147</v>
      </c>
    </row>
    <row r="353" spans="1:14" x14ac:dyDescent="0.35">
      <c r="A353" t="s">
        <v>348</v>
      </c>
      <c r="B353" t="s">
        <v>348</v>
      </c>
      <c r="C353" t="s">
        <v>11</v>
      </c>
      <c r="D353" t="s">
        <v>337</v>
      </c>
    </row>
    <row r="355" spans="1:14" x14ac:dyDescent="0.35">
      <c r="B355" s="1" t="str">
        <f>'[8]Population Definitions'!$A$8</f>
        <v>mnut_hm</v>
      </c>
    </row>
    <row r="356" spans="1:14" x14ac:dyDescent="0.35">
      <c r="A356" s="1" t="str">
        <f>'[8]Population Definitions'!$A$6</f>
        <v>msep_hm</v>
      </c>
      <c r="B356" s="5" t="s">
        <v>148</v>
      </c>
    </row>
    <row r="358" spans="1:14" x14ac:dyDescent="0.35">
      <c r="A358" s="1" t="s">
        <v>149</v>
      </c>
      <c r="B358" s="1"/>
      <c r="C358" s="1" t="s">
        <v>150</v>
      </c>
      <c r="D358" s="1" t="s">
        <v>28</v>
      </c>
      <c r="E358" s="1" t="s">
        <v>29</v>
      </c>
      <c r="F358" s="1" t="s">
        <v>30</v>
      </c>
      <c r="G358" s="1" t="s">
        <v>31</v>
      </c>
      <c r="H358" s="1"/>
      <c r="I358" s="1">
        <v>2020</v>
      </c>
      <c r="J358" s="1">
        <v>2021</v>
      </c>
      <c r="K358" s="1">
        <v>2022</v>
      </c>
      <c r="L358" s="1">
        <v>2023</v>
      </c>
      <c r="M358" s="1">
        <v>2024</v>
      </c>
      <c r="N358" s="1">
        <v>2025</v>
      </c>
    </row>
    <row r="359" spans="1:14" x14ac:dyDescent="0.35">
      <c r="A359" s="1" t="str">
        <f>IF($B$356="Y",'[8]Population Definitions'!$A$6,"...")</f>
        <v>msep_hm</v>
      </c>
      <c r="B359" s="4" t="str">
        <f>IF($B$356="Y","---&gt;","...")</f>
        <v>---&gt;</v>
      </c>
      <c r="C359" s="1" t="str">
        <f>IF($B$356="Y",'[8]Population Definitions'!$A$8,"...")</f>
        <v>mnut_hm</v>
      </c>
      <c r="D359" t="s">
        <v>32</v>
      </c>
      <c r="E359" s="3" t="s">
        <v>120</v>
      </c>
      <c r="F359" s="3"/>
      <c r="G359" s="3">
        <v>1</v>
      </c>
      <c r="H359" s="4" t="str">
        <f>IF($B$356="Y","OR","...")</f>
        <v>OR</v>
      </c>
      <c r="I359" s="3"/>
      <c r="J359" s="3"/>
      <c r="K359" s="3"/>
      <c r="L359" s="3"/>
      <c r="M359" s="3"/>
      <c r="N359" s="3"/>
    </row>
    <row r="361" spans="1:14" x14ac:dyDescent="0.35">
      <c r="A361" s="1" t="s">
        <v>0</v>
      </c>
      <c r="B361" s="1" t="s">
        <v>1</v>
      </c>
      <c r="C361" s="1" t="s">
        <v>146</v>
      </c>
      <c r="D361" s="1" t="s">
        <v>147</v>
      </c>
    </row>
    <row r="362" spans="1:14" x14ac:dyDescent="0.35">
      <c r="A362" t="s">
        <v>349</v>
      </c>
      <c r="B362" t="s">
        <v>349</v>
      </c>
      <c r="C362" t="s">
        <v>7</v>
      </c>
      <c r="D362" t="s">
        <v>337</v>
      </c>
    </row>
    <row r="364" spans="1:14" x14ac:dyDescent="0.35">
      <c r="B364" s="1" t="str">
        <f>'[8]Population Definitions'!$A$8</f>
        <v>mnut_hm</v>
      </c>
    </row>
    <row r="365" spans="1:14" x14ac:dyDescent="0.35">
      <c r="A365" s="1" t="str">
        <f>'[8]Population Definitions'!$A$4</f>
        <v>an_hm</v>
      </c>
      <c r="B365" s="5" t="s">
        <v>148</v>
      </c>
    </row>
    <row r="367" spans="1:14" x14ac:dyDescent="0.35">
      <c r="A367" s="1" t="s">
        <v>149</v>
      </c>
      <c r="B367" s="1"/>
      <c r="C367" s="1" t="s">
        <v>150</v>
      </c>
      <c r="D367" s="1" t="s">
        <v>28</v>
      </c>
      <c r="E367" s="1" t="s">
        <v>29</v>
      </c>
      <c r="F367" s="1" t="s">
        <v>30</v>
      </c>
      <c r="G367" s="1" t="s">
        <v>31</v>
      </c>
      <c r="H367" s="1"/>
      <c r="I367" s="1">
        <v>2020</v>
      </c>
      <c r="J367" s="1">
        <v>2021</v>
      </c>
      <c r="K367" s="1">
        <v>2022</v>
      </c>
      <c r="L367" s="1">
        <v>2023</v>
      </c>
      <c r="M367" s="1">
        <v>2024</v>
      </c>
      <c r="N367" s="1">
        <v>2025</v>
      </c>
    </row>
    <row r="368" spans="1:14" x14ac:dyDescent="0.35">
      <c r="A368" s="1" t="str">
        <f>IF($B$365="Y",'[8]Population Definitions'!$A$4,"...")</f>
        <v>an_hm</v>
      </c>
      <c r="B368" s="4" t="str">
        <f>IF($B$365="Y","---&gt;","...")</f>
        <v>---&gt;</v>
      </c>
      <c r="C368" s="1" t="str">
        <f>IF($B$365="Y",'[8]Population Definitions'!$A$8,"...")</f>
        <v>mnut_hm</v>
      </c>
      <c r="D368" t="s">
        <v>32</v>
      </c>
      <c r="E368" s="3" t="s">
        <v>120</v>
      </c>
      <c r="F368" s="3"/>
      <c r="G368" s="3">
        <v>1</v>
      </c>
      <c r="H368" s="4" t="str">
        <f>IF($B$365="Y","OR","...")</f>
        <v>OR</v>
      </c>
      <c r="I368" s="3"/>
      <c r="J368" s="3"/>
      <c r="K368" s="3"/>
      <c r="L368" s="3"/>
      <c r="M368" s="3"/>
      <c r="N368" s="3"/>
    </row>
    <row r="370" spans="1:14" x14ac:dyDescent="0.35">
      <c r="A370" s="1" t="s">
        <v>0</v>
      </c>
      <c r="B370" s="1" t="s">
        <v>1</v>
      </c>
      <c r="C370" s="1" t="s">
        <v>146</v>
      </c>
      <c r="D370" s="1" t="s">
        <v>147</v>
      </c>
    </row>
    <row r="371" spans="1:14" x14ac:dyDescent="0.35">
      <c r="A371" t="s">
        <v>350</v>
      </c>
      <c r="B371" t="s">
        <v>350</v>
      </c>
      <c r="C371" t="s">
        <v>337</v>
      </c>
      <c r="D371" t="s">
        <v>337</v>
      </c>
    </row>
    <row r="373" spans="1:14" x14ac:dyDescent="0.35">
      <c r="B373" s="1" t="str">
        <f>'[8]Population Definitions'!$A$8</f>
        <v>mnut_hm</v>
      </c>
    </row>
    <row r="374" spans="1:14" x14ac:dyDescent="0.35">
      <c r="A374" s="1" t="str">
        <f>'[8]Population Definitions'!$A$8</f>
        <v>mnut_hm</v>
      </c>
      <c r="B374" s="5" t="s">
        <v>148</v>
      </c>
    </row>
    <row r="376" spans="1:14" x14ac:dyDescent="0.35">
      <c r="A376" s="1" t="s">
        <v>149</v>
      </c>
      <c r="B376" s="1"/>
      <c r="C376" s="1" t="s">
        <v>150</v>
      </c>
      <c r="D376" s="1" t="s">
        <v>28</v>
      </c>
      <c r="E376" s="1" t="s">
        <v>29</v>
      </c>
      <c r="F376" s="1" t="s">
        <v>30</v>
      </c>
      <c r="G376" s="1" t="s">
        <v>31</v>
      </c>
      <c r="H376" s="1"/>
      <c r="I376" s="1">
        <v>2020</v>
      </c>
      <c r="J376" s="1">
        <v>2021</v>
      </c>
      <c r="K376" s="1">
        <v>2022</v>
      </c>
      <c r="L376" s="1">
        <v>2023</v>
      </c>
      <c r="M376" s="1">
        <v>2024</v>
      </c>
      <c r="N376" s="1">
        <v>2025</v>
      </c>
    </row>
    <row r="377" spans="1:14" x14ac:dyDescent="0.35">
      <c r="A377" s="1" t="str">
        <f>IF($B$374="Y",'[8]Population Definitions'!$A$8,"...")</f>
        <v>mnut_hm</v>
      </c>
      <c r="B377" s="4" t="str">
        <f>IF($B$374="Y","---&gt;","...")</f>
        <v>---&gt;</v>
      </c>
      <c r="C377" s="1" t="str">
        <f>IF($B$374="Y",'[8]Population Definitions'!$A$8,"...")</f>
        <v>mnut_hm</v>
      </c>
      <c r="D377" t="s">
        <v>32</v>
      </c>
      <c r="E377" s="3" t="s">
        <v>120</v>
      </c>
      <c r="F377" s="3"/>
      <c r="G377" s="3">
        <v>1</v>
      </c>
      <c r="H377" s="4" t="str">
        <f>IF($B$374="Y","OR","...")</f>
        <v>OR</v>
      </c>
      <c r="I377" s="3"/>
      <c r="J377" s="3"/>
      <c r="K377" s="3"/>
      <c r="L377" s="3"/>
      <c r="M377" s="3"/>
      <c r="N377" s="3"/>
    </row>
    <row r="379" spans="1:14" x14ac:dyDescent="0.35">
      <c r="A379" s="1" t="s">
        <v>0</v>
      </c>
      <c r="B379" s="1" t="s">
        <v>1</v>
      </c>
      <c r="C379" s="1" t="s">
        <v>146</v>
      </c>
      <c r="D379" s="1" t="s">
        <v>147</v>
      </c>
    </row>
    <row r="380" spans="1:14" x14ac:dyDescent="0.35">
      <c r="A380" t="s">
        <v>164</v>
      </c>
      <c r="B380" t="s">
        <v>164</v>
      </c>
      <c r="C380" t="s">
        <v>3</v>
      </c>
      <c r="D380" t="s">
        <v>13</v>
      </c>
    </row>
    <row r="382" spans="1:14" x14ac:dyDescent="0.35">
      <c r="B382" s="1" t="str">
        <f>'[8]Population Definitions'!$A$9</f>
        <v>ol_hm</v>
      </c>
    </row>
    <row r="383" spans="1:14" x14ac:dyDescent="0.35">
      <c r="A383" s="1" t="str">
        <f>'[8]Population Definitions'!$A$2</f>
        <v>anc_hm</v>
      </c>
      <c r="B383" s="5" t="s">
        <v>148</v>
      </c>
    </row>
    <row r="385" spans="1:14" x14ac:dyDescent="0.35">
      <c r="A385" s="1" t="s">
        <v>149</v>
      </c>
      <c r="B385" s="1"/>
      <c r="C385" s="1" t="s">
        <v>150</v>
      </c>
      <c r="D385" s="1" t="s">
        <v>28</v>
      </c>
      <c r="E385" s="1" t="s">
        <v>29</v>
      </c>
      <c r="F385" s="1" t="s">
        <v>30</v>
      </c>
      <c r="G385" s="1" t="s">
        <v>31</v>
      </c>
      <c r="H385" s="1"/>
      <c r="I385" s="1">
        <v>2020</v>
      </c>
      <c r="J385" s="1">
        <v>2021</v>
      </c>
      <c r="K385" s="1">
        <v>2022</v>
      </c>
      <c r="L385" s="1">
        <v>2023</v>
      </c>
      <c r="M385" s="1">
        <v>2024</v>
      </c>
      <c r="N385" s="1">
        <v>2025</v>
      </c>
    </row>
    <row r="386" spans="1:14" x14ac:dyDescent="0.35">
      <c r="A386" s="1" t="str">
        <f>IF($B$383="Y",'[8]Population Definitions'!$A$2,"...")</f>
        <v>anc_hm</v>
      </c>
      <c r="B386" s="4" t="str">
        <f>IF($B$383="Y","---&gt;","...")</f>
        <v>---&gt;</v>
      </c>
      <c r="C386" s="1" t="str">
        <f>IF($B$383="Y",'[8]Population Definitions'!$A$9,"...")</f>
        <v>ol_hm</v>
      </c>
      <c r="D386" t="s">
        <v>32</v>
      </c>
      <c r="E386" s="3" t="s">
        <v>120</v>
      </c>
      <c r="F386" s="3"/>
      <c r="G386" s="3">
        <v>1</v>
      </c>
      <c r="H386" s="4" t="str">
        <f>IF($B$383="Y","OR","...")</f>
        <v>OR</v>
      </c>
      <c r="I386" s="3"/>
      <c r="J386" s="3"/>
      <c r="K386" s="3"/>
      <c r="L386" s="3"/>
      <c r="M386" s="3"/>
      <c r="N386" s="3"/>
    </row>
    <row r="388" spans="1:14" x14ac:dyDescent="0.35">
      <c r="A388" s="1" t="s">
        <v>0</v>
      </c>
      <c r="B388" s="1" t="s">
        <v>1</v>
      </c>
      <c r="C388" s="1" t="s">
        <v>146</v>
      </c>
      <c r="D388" s="1" t="s">
        <v>147</v>
      </c>
    </row>
    <row r="389" spans="1:14" x14ac:dyDescent="0.35">
      <c r="A389" t="s">
        <v>165</v>
      </c>
      <c r="B389" t="s">
        <v>165</v>
      </c>
      <c r="C389" t="s">
        <v>9</v>
      </c>
      <c r="D389" t="s">
        <v>13</v>
      </c>
    </row>
    <row r="391" spans="1:14" x14ac:dyDescent="0.35">
      <c r="B391" s="1" t="str">
        <f>'[8]Population Definitions'!$A$9</f>
        <v>ol_hm</v>
      </c>
    </row>
    <row r="392" spans="1:14" x14ac:dyDescent="0.35">
      <c r="A392" s="1" t="str">
        <f>'[8]Population Definitions'!$A$5</f>
        <v>hm_hm</v>
      </c>
      <c r="B392" s="5" t="s">
        <v>148</v>
      </c>
    </row>
    <row r="394" spans="1:14" x14ac:dyDescent="0.35">
      <c r="A394" s="1" t="s">
        <v>149</v>
      </c>
      <c r="B394" s="1"/>
      <c r="C394" s="1" t="s">
        <v>150</v>
      </c>
      <c r="D394" s="1" t="s">
        <v>28</v>
      </c>
      <c r="E394" s="1" t="s">
        <v>29</v>
      </c>
      <c r="F394" s="1" t="s">
        <v>30</v>
      </c>
      <c r="G394" s="1" t="s">
        <v>31</v>
      </c>
      <c r="H394" s="1"/>
      <c r="I394" s="1">
        <v>2020</v>
      </c>
      <c r="J394" s="1">
        <v>2021</v>
      </c>
      <c r="K394" s="1">
        <v>2022</v>
      </c>
      <c r="L394" s="1">
        <v>2023</v>
      </c>
      <c r="M394" s="1">
        <v>2024</v>
      </c>
      <c r="N394" s="1">
        <v>2025</v>
      </c>
    </row>
    <row r="395" spans="1:14" x14ac:dyDescent="0.35">
      <c r="A395" s="1" t="str">
        <f>IF($B$392="Y",'[8]Population Definitions'!$A$5,"...")</f>
        <v>hm_hm</v>
      </c>
      <c r="B395" s="4" t="str">
        <f>IF($B$392="Y","---&gt;","...")</f>
        <v>---&gt;</v>
      </c>
      <c r="C395" s="1" t="str">
        <f>IF($B$392="Y",'[8]Population Definitions'!$A$9,"...")</f>
        <v>ol_hm</v>
      </c>
      <c r="D395" t="s">
        <v>32</v>
      </c>
      <c r="E395" s="3" t="s">
        <v>120</v>
      </c>
      <c r="F395" s="3"/>
      <c r="G395" s="3">
        <v>1</v>
      </c>
      <c r="H395" s="4" t="str">
        <f>IF($B$392="Y","OR","...")</f>
        <v>OR</v>
      </c>
      <c r="I395" s="3"/>
      <c r="J395" s="3"/>
      <c r="K395" s="3"/>
      <c r="L395" s="3"/>
      <c r="M395" s="3"/>
      <c r="N395" s="3"/>
    </row>
    <row r="397" spans="1:14" x14ac:dyDescent="0.35">
      <c r="A397" s="1" t="s">
        <v>0</v>
      </c>
      <c r="B397" s="1" t="s">
        <v>1</v>
      </c>
      <c r="C397" s="1" t="s">
        <v>146</v>
      </c>
      <c r="D397" s="1" t="s">
        <v>147</v>
      </c>
    </row>
    <row r="398" spans="1:14" x14ac:dyDescent="0.35">
      <c r="A398" t="s">
        <v>166</v>
      </c>
      <c r="B398" t="s">
        <v>166</v>
      </c>
      <c r="C398" t="s">
        <v>13</v>
      </c>
      <c r="D398" t="s">
        <v>13</v>
      </c>
    </row>
    <row r="400" spans="1:14" x14ac:dyDescent="0.35">
      <c r="B400" s="1" t="str">
        <f>'[8]Population Definitions'!$A$9</f>
        <v>ol_hm</v>
      </c>
    </row>
    <row r="401" spans="1:14" x14ac:dyDescent="0.35">
      <c r="A401" s="1" t="str">
        <f>'[8]Population Definitions'!$A$9</f>
        <v>ol_hm</v>
      </c>
      <c r="B401" s="5" t="s">
        <v>148</v>
      </c>
    </row>
    <row r="403" spans="1:14" x14ac:dyDescent="0.35">
      <c r="A403" s="1" t="s">
        <v>149</v>
      </c>
      <c r="B403" s="1"/>
      <c r="C403" s="1" t="s">
        <v>150</v>
      </c>
      <c r="D403" s="1" t="s">
        <v>28</v>
      </c>
      <c r="E403" s="1" t="s">
        <v>29</v>
      </c>
      <c r="F403" s="1" t="s">
        <v>30</v>
      </c>
      <c r="G403" s="1" t="s">
        <v>31</v>
      </c>
      <c r="H403" s="1"/>
      <c r="I403" s="1">
        <v>2020</v>
      </c>
      <c r="J403" s="1">
        <v>2021</v>
      </c>
      <c r="K403" s="1">
        <v>2022</v>
      </c>
      <c r="L403" s="1">
        <v>2023</v>
      </c>
      <c r="M403" s="1">
        <v>2024</v>
      </c>
      <c r="N403" s="1">
        <v>2025</v>
      </c>
    </row>
    <row r="404" spans="1:14" x14ac:dyDescent="0.35">
      <c r="A404" s="1" t="str">
        <f>IF($B$401="Y",'[8]Population Definitions'!$A$9,"...")</f>
        <v>ol_hm</v>
      </c>
      <c r="B404" s="4" t="str">
        <f>IF($B$401="Y","---&gt;","...")</f>
        <v>---&gt;</v>
      </c>
      <c r="C404" s="1" t="str">
        <f>IF($B$401="Y",'[8]Population Definitions'!$A$9,"...")</f>
        <v>ol_hm</v>
      </c>
      <c r="D404" t="s">
        <v>32</v>
      </c>
      <c r="E404" s="3" t="s">
        <v>120</v>
      </c>
      <c r="F404" s="3"/>
      <c r="G404" s="3">
        <v>1</v>
      </c>
      <c r="H404" s="4" t="str">
        <f>IF($B$401="Y","OR","...")</f>
        <v>OR</v>
      </c>
      <c r="I404" s="3"/>
      <c r="J404" s="3"/>
      <c r="K404" s="3"/>
      <c r="L404" s="3"/>
      <c r="M404" s="3"/>
      <c r="N404" s="3"/>
    </row>
    <row r="406" spans="1:14" x14ac:dyDescent="0.35">
      <c r="A406" s="1" t="s">
        <v>0</v>
      </c>
      <c r="B406" s="1" t="s">
        <v>1</v>
      </c>
      <c r="C406" s="1" t="s">
        <v>146</v>
      </c>
      <c r="D406" s="1" t="s">
        <v>147</v>
      </c>
    </row>
    <row r="407" spans="1:14" x14ac:dyDescent="0.35">
      <c r="A407" t="s">
        <v>167</v>
      </c>
      <c r="B407" t="s">
        <v>167</v>
      </c>
      <c r="C407" t="s">
        <v>19</v>
      </c>
      <c r="D407" t="s">
        <v>13</v>
      </c>
    </row>
    <row r="409" spans="1:14" x14ac:dyDescent="0.35">
      <c r="B409" s="1" t="str">
        <f>'[8]Population Definitions'!$A$9</f>
        <v>ol_hm</v>
      </c>
    </row>
    <row r="410" spans="1:14" x14ac:dyDescent="0.35">
      <c r="A410" s="1" t="str">
        <f>'[8]Population Definitions'!$A$12</f>
        <v>pt_hm</v>
      </c>
      <c r="B410" s="5" t="s">
        <v>148</v>
      </c>
    </row>
    <row r="412" spans="1:14" x14ac:dyDescent="0.35">
      <c r="A412" s="1" t="s">
        <v>149</v>
      </c>
      <c r="B412" s="1"/>
      <c r="C412" s="1" t="s">
        <v>150</v>
      </c>
      <c r="D412" s="1" t="s">
        <v>28</v>
      </c>
      <c r="E412" s="1" t="s">
        <v>29</v>
      </c>
      <c r="F412" s="1" t="s">
        <v>30</v>
      </c>
      <c r="G412" s="1" t="s">
        <v>31</v>
      </c>
      <c r="H412" s="1"/>
      <c r="I412" s="1">
        <v>2020</v>
      </c>
      <c r="J412" s="1">
        <v>2021</v>
      </c>
      <c r="K412" s="1">
        <v>2022</v>
      </c>
      <c r="L412" s="1">
        <v>2023</v>
      </c>
      <c r="M412" s="1">
        <v>2024</v>
      </c>
      <c r="N412" s="1">
        <v>2025</v>
      </c>
    </row>
    <row r="413" spans="1:14" x14ac:dyDescent="0.35">
      <c r="A413" s="1" t="str">
        <f>IF($B$410="Y",'[8]Population Definitions'!$A$12,"...")</f>
        <v>pt_hm</v>
      </c>
      <c r="B413" s="4" t="str">
        <f>IF($B$410="Y","---&gt;","...")</f>
        <v>---&gt;</v>
      </c>
      <c r="C413" s="1" t="str">
        <f>IF($B$410="Y",'[8]Population Definitions'!$A$9,"...")</f>
        <v>ol_hm</v>
      </c>
      <c r="D413" t="s">
        <v>32</v>
      </c>
      <c r="E413" s="3" t="s">
        <v>120</v>
      </c>
      <c r="F413" s="3"/>
      <c r="G413" s="3">
        <v>1</v>
      </c>
      <c r="H413" s="4" t="str">
        <f>IF($B$410="Y","OR","...")</f>
        <v>OR</v>
      </c>
      <c r="I413" s="3"/>
      <c r="J413" s="3"/>
      <c r="K413" s="3"/>
      <c r="L413" s="3"/>
      <c r="M413" s="3"/>
      <c r="N413" s="3"/>
    </row>
    <row r="415" spans="1:14" x14ac:dyDescent="0.35">
      <c r="A415" s="1" t="s">
        <v>0</v>
      </c>
      <c r="B415" s="1" t="s">
        <v>1</v>
      </c>
      <c r="C415" s="1" t="s">
        <v>146</v>
      </c>
      <c r="D415" s="1" t="s">
        <v>147</v>
      </c>
    </row>
    <row r="416" spans="1:14" x14ac:dyDescent="0.35">
      <c r="A416" t="s">
        <v>168</v>
      </c>
      <c r="B416" t="s">
        <v>168</v>
      </c>
      <c r="C416" t="s">
        <v>11</v>
      </c>
      <c r="D416" t="s">
        <v>13</v>
      </c>
    </row>
    <row r="418" spans="1:14" x14ac:dyDescent="0.35">
      <c r="B418" s="1" t="str">
        <f>'[8]Population Definitions'!$A$9</f>
        <v>ol_hm</v>
      </c>
    </row>
    <row r="419" spans="1:14" x14ac:dyDescent="0.35">
      <c r="A419" s="1" t="str">
        <f>'[8]Population Definitions'!$A$6</f>
        <v>msep_hm</v>
      </c>
      <c r="B419" s="5" t="s">
        <v>148</v>
      </c>
    </row>
    <row r="421" spans="1:14" x14ac:dyDescent="0.35">
      <c r="A421" s="1" t="s">
        <v>149</v>
      </c>
      <c r="B421" s="1"/>
      <c r="C421" s="1" t="s">
        <v>150</v>
      </c>
      <c r="D421" s="1" t="s">
        <v>28</v>
      </c>
      <c r="E421" s="1" t="s">
        <v>29</v>
      </c>
      <c r="F421" s="1" t="s">
        <v>30</v>
      </c>
      <c r="G421" s="1" t="s">
        <v>31</v>
      </c>
      <c r="H421" s="1"/>
      <c r="I421" s="1">
        <v>2020</v>
      </c>
      <c r="J421" s="1">
        <v>2021</v>
      </c>
      <c r="K421" s="1">
        <v>2022</v>
      </c>
      <c r="L421" s="1">
        <v>2023</v>
      </c>
      <c r="M421" s="1">
        <v>2024</v>
      </c>
      <c r="N421" s="1">
        <v>2025</v>
      </c>
    </row>
    <row r="422" spans="1:14" x14ac:dyDescent="0.35">
      <c r="A422" s="1" t="str">
        <f>IF($B$419="Y",'[8]Population Definitions'!$A$6,"...")</f>
        <v>msep_hm</v>
      </c>
      <c r="B422" s="4" t="str">
        <f>IF($B$419="Y","---&gt;","...")</f>
        <v>---&gt;</v>
      </c>
      <c r="C422" s="1" t="str">
        <f>IF($B$419="Y",'[8]Population Definitions'!$A$9,"...")</f>
        <v>ol_hm</v>
      </c>
      <c r="D422" t="s">
        <v>32</v>
      </c>
      <c r="E422" s="3" t="s">
        <v>120</v>
      </c>
      <c r="F422" s="3"/>
      <c r="G422" s="3">
        <v>1</v>
      </c>
      <c r="H422" s="4" t="str">
        <f>IF($B$419="Y","OR","...")</f>
        <v>OR</v>
      </c>
      <c r="I422" s="3"/>
      <c r="J422" s="3"/>
      <c r="K422" s="3"/>
      <c r="L422" s="3"/>
      <c r="M422" s="3"/>
      <c r="N422" s="3"/>
    </row>
    <row r="424" spans="1:14" x14ac:dyDescent="0.35">
      <c r="A424" s="1" t="s">
        <v>0</v>
      </c>
      <c r="B424" s="1" t="s">
        <v>1</v>
      </c>
      <c r="C424" s="1" t="s">
        <v>146</v>
      </c>
      <c r="D424" s="1" t="s">
        <v>147</v>
      </c>
    </row>
    <row r="425" spans="1:14" x14ac:dyDescent="0.35">
      <c r="A425" t="s">
        <v>193</v>
      </c>
      <c r="B425" t="s">
        <v>193</v>
      </c>
      <c r="C425" t="s">
        <v>7</v>
      </c>
      <c r="D425" t="s">
        <v>13</v>
      </c>
    </row>
    <row r="427" spans="1:14" x14ac:dyDescent="0.35">
      <c r="B427" s="1" t="str">
        <f>'[8]Population Definitions'!$A$9</f>
        <v>ol_hm</v>
      </c>
    </row>
    <row r="428" spans="1:14" x14ac:dyDescent="0.35">
      <c r="A428" s="1" t="str">
        <f>'[8]Population Definitions'!$A$4</f>
        <v>an_hm</v>
      </c>
      <c r="B428" s="5" t="s">
        <v>148</v>
      </c>
    </row>
    <row r="430" spans="1:14" x14ac:dyDescent="0.35">
      <c r="A430" s="1" t="s">
        <v>149</v>
      </c>
      <c r="B430" s="1"/>
      <c r="C430" s="1" t="s">
        <v>150</v>
      </c>
      <c r="D430" s="1" t="s">
        <v>28</v>
      </c>
      <c r="E430" s="1" t="s">
        <v>29</v>
      </c>
      <c r="F430" s="1" t="s">
        <v>30</v>
      </c>
      <c r="G430" s="1" t="s">
        <v>31</v>
      </c>
      <c r="H430" s="1"/>
      <c r="I430" s="1">
        <v>2020</v>
      </c>
      <c r="J430" s="1">
        <v>2021</v>
      </c>
      <c r="K430" s="1">
        <v>2022</v>
      </c>
      <c r="L430" s="1">
        <v>2023</v>
      </c>
      <c r="M430" s="1">
        <v>2024</v>
      </c>
      <c r="N430" s="1">
        <v>2025</v>
      </c>
    </row>
    <row r="431" spans="1:14" x14ac:dyDescent="0.35">
      <c r="A431" s="1" t="str">
        <f>IF($B$428="Y",'[8]Population Definitions'!$A$4,"...")</f>
        <v>an_hm</v>
      </c>
      <c r="B431" s="4" t="str">
        <f>IF($B$428="Y","---&gt;","...")</f>
        <v>---&gt;</v>
      </c>
      <c r="C431" s="1" t="str">
        <f>IF($B$428="Y",'[8]Population Definitions'!$A$9,"...")</f>
        <v>ol_hm</v>
      </c>
      <c r="D431" t="s">
        <v>32</v>
      </c>
      <c r="E431" s="3" t="s">
        <v>120</v>
      </c>
      <c r="F431" s="3"/>
      <c r="G431" s="3">
        <v>1</v>
      </c>
      <c r="H431" s="4" t="str">
        <f>IF($B$428="Y","OR","...")</f>
        <v>OR</v>
      </c>
      <c r="I431" s="3"/>
      <c r="J431" s="3"/>
      <c r="K431" s="3"/>
      <c r="L431" s="3"/>
      <c r="M431" s="3"/>
      <c r="N431" s="3"/>
    </row>
    <row r="433" spans="1:14" x14ac:dyDescent="0.35">
      <c r="A433" s="1" t="s">
        <v>0</v>
      </c>
      <c r="B433" s="1" t="s">
        <v>1</v>
      </c>
      <c r="C433" s="1" t="s">
        <v>146</v>
      </c>
      <c r="D433" s="1" t="s">
        <v>147</v>
      </c>
    </row>
    <row r="434" spans="1:14" x14ac:dyDescent="0.35">
      <c r="A434" t="s">
        <v>351</v>
      </c>
      <c r="B434" t="s">
        <v>351</v>
      </c>
      <c r="C434" t="s">
        <v>337</v>
      </c>
      <c r="D434" t="s">
        <v>13</v>
      </c>
    </row>
    <row r="436" spans="1:14" x14ac:dyDescent="0.35">
      <c r="B436" s="1" t="str">
        <f>'[8]Population Definitions'!$A$9</f>
        <v>ol_hm</v>
      </c>
    </row>
    <row r="437" spans="1:14" x14ac:dyDescent="0.35">
      <c r="A437" s="1" t="str">
        <f>'[8]Population Definitions'!$A$8</f>
        <v>mnut_hm</v>
      </c>
      <c r="B437" s="5" t="s">
        <v>148</v>
      </c>
    </row>
    <row r="439" spans="1:14" x14ac:dyDescent="0.35">
      <c r="A439" s="1" t="s">
        <v>149</v>
      </c>
      <c r="B439" s="1"/>
      <c r="C439" s="1" t="s">
        <v>150</v>
      </c>
      <c r="D439" s="1" t="s">
        <v>28</v>
      </c>
      <c r="E439" s="1" t="s">
        <v>29</v>
      </c>
      <c r="F439" s="1" t="s">
        <v>30</v>
      </c>
      <c r="G439" s="1" t="s">
        <v>31</v>
      </c>
      <c r="H439" s="1"/>
      <c r="I439" s="1">
        <v>2020</v>
      </c>
      <c r="J439" s="1">
        <v>2021</v>
      </c>
      <c r="K439" s="1">
        <v>2022</v>
      </c>
      <c r="L439" s="1">
        <v>2023</v>
      </c>
      <c r="M439" s="1">
        <v>2024</v>
      </c>
      <c r="N439" s="1">
        <v>2025</v>
      </c>
    </row>
    <row r="440" spans="1:14" x14ac:dyDescent="0.35">
      <c r="A440" s="1" t="str">
        <f>IF($B$437="Y",'[8]Population Definitions'!$A$8,"...")</f>
        <v>mnut_hm</v>
      </c>
      <c r="B440" s="4" t="str">
        <f>IF($B$437="Y","---&gt;","...")</f>
        <v>---&gt;</v>
      </c>
      <c r="C440" s="1" t="str">
        <f>IF($B$437="Y",'[8]Population Definitions'!$A$9,"...")</f>
        <v>ol_hm</v>
      </c>
      <c r="D440" t="s">
        <v>32</v>
      </c>
      <c r="E440" s="3" t="s">
        <v>120</v>
      </c>
      <c r="F440" s="3"/>
      <c r="G440" s="3">
        <v>1</v>
      </c>
      <c r="H440" s="4" t="str">
        <f>IF($B$437="Y","OR","...")</f>
        <v>OR</v>
      </c>
      <c r="I440" s="3"/>
      <c r="J440" s="3"/>
      <c r="K440" s="3"/>
      <c r="L440" s="3"/>
      <c r="M440" s="3"/>
      <c r="N440" s="3"/>
    </row>
    <row r="442" spans="1:14" x14ac:dyDescent="0.35">
      <c r="A442" s="1" t="s">
        <v>0</v>
      </c>
      <c r="B442" s="1" t="s">
        <v>1</v>
      </c>
      <c r="C442" s="1" t="s">
        <v>146</v>
      </c>
      <c r="D442" s="1" t="s">
        <v>147</v>
      </c>
    </row>
    <row r="443" spans="1:14" x14ac:dyDescent="0.35">
      <c r="A443" t="s">
        <v>278</v>
      </c>
      <c r="B443" t="s">
        <v>278</v>
      </c>
      <c r="C443" t="s">
        <v>19</v>
      </c>
      <c r="D443" t="s">
        <v>15</v>
      </c>
    </row>
    <row r="445" spans="1:14" x14ac:dyDescent="0.35">
      <c r="B445" s="1" t="str">
        <f>'[8]Population Definitions'!$A$10</f>
        <v>oth_hm</v>
      </c>
    </row>
    <row r="446" spans="1:14" x14ac:dyDescent="0.35">
      <c r="A446" s="1" t="str">
        <f>'[8]Population Definitions'!$A$12</f>
        <v>pt_hm</v>
      </c>
      <c r="B446" s="5" t="s">
        <v>148</v>
      </c>
    </row>
    <row r="448" spans="1:14" x14ac:dyDescent="0.35">
      <c r="A448" s="1" t="s">
        <v>149</v>
      </c>
      <c r="B448" s="1"/>
      <c r="C448" s="1" t="s">
        <v>150</v>
      </c>
      <c r="D448" s="1" t="s">
        <v>28</v>
      </c>
      <c r="E448" s="1" t="s">
        <v>29</v>
      </c>
      <c r="F448" s="1" t="s">
        <v>30</v>
      </c>
      <c r="G448" s="1" t="s">
        <v>31</v>
      </c>
      <c r="H448" s="1"/>
      <c r="I448" s="1">
        <v>2020</v>
      </c>
      <c r="J448" s="1">
        <v>2021</v>
      </c>
      <c r="K448" s="1">
        <v>2022</v>
      </c>
      <c r="L448" s="1">
        <v>2023</v>
      </c>
      <c r="M448" s="1">
        <v>2024</v>
      </c>
      <c r="N448" s="1">
        <v>2025</v>
      </c>
    </row>
    <row r="449" spans="1:14" x14ac:dyDescent="0.35">
      <c r="A449" s="1" t="str">
        <f>IF($B$446="Y",'[8]Population Definitions'!$A$12,"...")</f>
        <v>pt_hm</v>
      </c>
      <c r="B449" s="4" t="str">
        <f>IF($B$446="Y","---&gt;","...")</f>
        <v>---&gt;</v>
      </c>
      <c r="C449" s="1" t="str">
        <f>IF($B$446="Y",'[8]Population Definitions'!$A$10,"...")</f>
        <v>oth_hm</v>
      </c>
      <c r="D449" t="s">
        <v>32</v>
      </c>
      <c r="E449" s="3" t="s">
        <v>120</v>
      </c>
      <c r="F449" s="3"/>
      <c r="G449" s="3">
        <v>1</v>
      </c>
      <c r="H449" s="4" t="str">
        <f>IF($B$446="Y","OR","...")</f>
        <v>OR</v>
      </c>
      <c r="I449" s="3"/>
      <c r="J449" s="3"/>
      <c r="K449" s="3"/>
      <c r="L449" s="3"/>
      <c r="M449" s="3"/>
      <c r="N449" s="3"/>
    </row>
    <row r="451" spans="1:14" x14ac:dyDescent="0.35">
      <c r="A451" s="1" t="s">
        <v>0</v>
      </c>
      <c r="B451" s="1" t="s">
        <v>1</v>
      </c>
      <c r="C451" s="1" t="s">
        <v>146</v>
      </c>
      <c r="D451" s="1" t="s">
        <v>147</v>
      </c>
    </row>
    <row r="452" spans="1:14" x14ac:dyDescent="0.35">
      <c r="A452" t="s">
        <v>239</v>
      </c>
      <c r="B452" t="s">
        <v>239</v>
      </c>
      <c r="C452" t="s">
        <v>3</v>
      </c>
      <c r="D452" t="s">
        <v>15</v>
      </c>
    </row>
    <row r="454" spans="1:14" x14ac:dyDescent="0.35">
      <c r="B454" s="1" t="str">
        <f>'[8]Population Definitions'!$A$10</f>
        <v>oth_hm</v>
      </c>
    </row>
    <row r="455" spans="1:14" x14ac:dyDescent="0.35">
      <c r="A455" s="1" t="str">
        <f>'[8]Population Definitions'!$A$2</f>
        <v>anc_hm</v>
      </c>
      <c r="B455" s="5" t="s">
        <v>148</v>
      </c>
    </row>
    <row r="457" spans="1:14" x14ac:dyDescent="0.35">
      <c r="A457" s="1" t="s">
        <v>149</v>
      </c>
      <c r="B457" s="1"/>
      <c r="C457" s="1" t="s">
        <v>150</v>
      </c>
      <c r="D457" s="1" t="s">
        <v>28</v>
      </c>
      <c r="E457" s="1" t="s">
        <v>29</v>
      </c>
      <c r="F457" s="1" t="s">
        <v>30</v>
      </c>
      <c r="G457" s="1" t="s">
        <v>31</v>
      </c>
      <c r="H457" s="1"/>
      <c r="I457" s="1">
        <v>2020</v>
      </c>
      <c r="J457" s="1">
        <v>2021</v>
      </c>
      <c r="K457" s="1">
        <v>2022</v>
      </c>
      <c r="L457" s="1">
        <v>2023</v>
      </c>
      <c r="M457" s="1">
        <v>2024</v>
      </c>
      <c r="N457" s="1">
        <v>2025</v>
      </c>
    </row>
    <row r="458" spans="1:14" x14ac:dyDescent="0.35">
      <c r="A458" s="1" t="str">
        <f>IF($B$455="Y",'[8]Population Definitions'!$A$2,"...")</f>
        <v>anc_hm</v>
      </c>
      <c r="B458" s="4" t="str">
        <f>IF($B$455="Y","---&gt;","...")</f>
        <v>---&gt;</v>
      </c>
      <c r="C458" s="1" t="str">
        <f>IF($B$455="Y",'[8]Population Definitions'!$A$10,"...")</f>
        <v>oth_hm</v>
      </c>
      <c r="D458" t="s">
        <v>32</v>
      </c>
      <c r="E458" s="3" t="s">
        <v>120</v>
      </c>
      <c r="F458" s="3"/>
      <c r="G458" s="3">
        <v>1</v>
      </c>
      <c r="H458" s="4" t="str">
        <f>IF($B$455="Y","OR","...")</f>
        <v>OR</v>
      </c>
      <c r="I458" s="3"/>
      <c r="J458" s="3"/>
      <c r="K458" s="3"/>
      <c r="L458" s="3"/>
      <c r="M458" s="3"/>
      <c r="N458" s="3"/>
    </row>
    <row r="460" spans="1:14" x14ac:dyDescent="0.35">
      <c r="A460" s="1" t="s">
        <v>0</v>
      </c>
      <c r="B460" s="1" t="s">
        <v>1</v>
      </c>
      <c r="C460" s="1" t="s">
        <v>146</v>
      </c>
      <c r="D460" s="1" t="s">
        <v>147</v>
      </c>
    </row>
    <row r="461" spans="1:14" x14ac:dyDescent="0.35">
      <c r="A461" t="s">
        <v>233</v>
      </c>
      <c r="B461" t="s">
        <v>233</v>
      </c>
      <c r="C461" t="s">
        <v>5</v>
      </c>
      <c r="D461" t="s">
        <v>15</v>
      </c>
    </row>
    <row r="463" spans="1:14" x14ac:dyDescent="0.35">
      <c r="B463" s="1" t="str">
        <f>'[8]Population Definitions'!$A$10</f>
        <v>oth_hm</v>
      </c>
    </row>
    <row r="464" spans="1:14" x14ac:dyDescent="0.35">
      <c r="A464" s="1" t="str">
        <f>'[8]Population Definitions'!$A$3</f>
        <v>asx_hm</v>
      </c>
      <c r="B464" s="5" t="s">
        <v>148</v>
      </c>
    </row>
    <row r="466" spans="1:14" x14ac:dyDescent="0.35">
      <c r="A466" s="1" t="s">
        <v>149</v>
      </c>
      <c r="B466" s="1"/>
      <c r="C466" s="1" t="s">
        <v>150</v>
      </c>
      <c r="D466" s="1" t="s">
        <v>28</v>
      </c>
      <c r="E466" s="1" t="s">
        <v>29</v>
      </c>
      <c r="F466" s="1" t="s">
        <v>30</v>
      </c>
      <c r="G466" s="1" t="s">
        <v>31</v>
      </c>
      <c r="H466" s="1"/>
      <c r="I466" s="1">
        <v>2020</v>
      </c>
      <c r="J466" s="1">
        <v>2021</v>
      </c>
      <c r="K466" s="1">
        <v>2022</v>
      </c>
      <c r="L466" s="1">
        <v>2023</v>
      </c>
      <c r="M466" s="1">
        <v>2024</v>
      </c>
      <c r="N466" s="1">
        <v>2025</v>
      </c>
    </row>
    <row r="467" spans="1:14" x14ac:dyDescent="0.35">
      <c r="A467" s="1" t="str">
        <f>IF($B$464="Y",'[8]Population Definitions'!$A$3,"...")</f>
        <v>asx_hm</v>
      </c>
      <c r="B467" s="4" t="str">
        <f>IF($B$464="Y","---&gt;","...")</f>
        <v>---&gt;</v>
      </c>
      <c r="C467" s="1" t="str">
        <f>IF($B$464="Y",'[8]Population Definitions'!$A$10,"...")</f>
        <v>oth_hm</v>
      </c>
      <c r="D467" t="s">
        <v>32</v>
      </c>
      <c r="E467" s="3" t="s">
        <v>120</v>
      </c>
      <c r="F467" s="3"/>
      <c r="G467" s="3">
        <v>1</v>
      </c>
      <c r="H467" s="4" t="str">
        <f>IF($B$464="Y","OR","...")</f>
        <v>OR</v>
      </c>
      <c r="I467" s="3"/>
      <c r="J467" s="3"/>
      <c r="K467" s="3"/>
      <c r="L467" s="3"/>
      <c r="M467" s="3"/>
      <c r="N467" s="3"/>
    </row>
    <row r="469" spans="1:14" x14ac:dyDescent="0.35">
      <c r="A469" s="1" t="s">
        <v>0</v>
      </c>
      <c r="B469" s="1" t="s">
        <v>1</v>
      </c>
      <c r="C469" s="1" t="s">
        <v>146</v>
      </c>
      <c r="D469" s="1" t="s">
        <v>147</v>
      </c>
    </row>
    <row r="470" spans="1:14" x14ac:dyDescent="0.35">
      <c r="A470" t="s">
        <v>294</v>
      </c>
      <c r="B470" t="s">
        <v>294</v>
      </c>
      <c r="C470" t="s">
        <v>11</v>
      </c>
      <c r="D470" t="s">
        <v>15</v>
      </c>
    </row>
    <row r="472" spans="1:14" x14ac:dyDescent="0.35">
      <c r="B472" s="1" t="str">
        <f>'[8]Population Definitions'!$A$10</f>
        <v>oth_hm</v>
      </c>
    </row>
    <row r="473" spans="1:14" x14ac:dyDescent="0.35">
      <c r="A473" s="1" t="str">
        <f>'[8]Population Definitions'!$A$6</f>
        <v>msep_hm</v>
      </c>
      <c r="B473" s="5" t="s">
        <v>148</v>
      </c>
    </row>
    <row r="475" spans="1:14" x14ac:dyDescent="0.35">
      <c r="A475" s="1" t="s">
        <v>149</v>
      </c>
      <c r="B475" s="1"/>
      <c r="C475" s="1" t="s">
        <v>150</v>
      </c>
      <c r="D475" s="1" t="s">
        <v>28</v>
      </c>
      <c r="E475" s="1" t="s">
        <v>29</v>
      </c>
      <c r="F475" s="1" t="s">
        <v>30</v>
      </c>
      <c r="G475" s="1" t="s">
        <v>31</v>
      </c>
      <c r="H475" s="1"/>
      <c r="I475" s="1">
        <v>2020</v>
      </c>
      <c r="J475" s="1">
        <v>2021</v>
      </c>
      <c r="K475" s="1">
        <v>2022</v>
      </c>
      <c r="L475" s="1">
        <v>2023</v>
      </c>
      <c r="M475" s="1">
        <v>2024</v>
      </c>
      <c r="N475" s="1">
        <v>2025</v>
      </c>
    </row>
    <row r="476" spans="1:14" x14ac:dyDescent="0.35">
      <c r="A476" s="1" t="str">
        <f>IF($B$473="Y",'[8]Population Definitions'!$A$6,"...")</f>
        <v>msep_hm</v>
      </c>
      <c r="B476" s="4" t="str">
        <f>IF($B$473="Y","---&gt;","...")</f>
        <v>---&gt;</v>
      </c>
      <c r="C476" s="1" t="str">
        <f>IF($B$473="Y",'[8]Population Definitions'!$A$10,"...")</f>
        <v>oth_hm</v>
      </c>
      <c r="D476" t="s">
        <v>32</v>
      </c>
      <c r="E476" s="3" t="s">
        <v>120</v>
      </c>
      <c r="F476" s="3"/>
      <c r="G476" s="3">
        <v>1</v>
      </c>
      <c r="H476" s="4" t="str">
        <f>IF($B$473="Y","OR","...")</f>
        <v>OR</v>
      </c>
      <c r="I476" s="3"/>
      <c r="J476" s="3"/>
      <c r="K476" s="3"/>
      <c r="L476" s="3"/>
      <c r="M476" s="3"/>
      <c r="N476" s="3"/>
    </row>
    <row r="478" spans="1:14" x14ac:dyDescent="0.35">
      <c r="A478" s="1" t="s">
        <v>0</v>
      </c>
      <c r="B478" s="1" t="s">
        <v>1</v>
      </c>
      <c r="C478" s="1" t="s">
        <v>146</v>
      </c>
      <c r="D478" s="1" t="s">
        <v>147</v>
      </c>
    </row>
    <row r="479" spans="1:14" x14ac:dyDescent="0.35">
      <c r="A479" t="s">
        <v>251</v>
      </c>
      <c r="B479" t="s">
        <v>251</v>
      </c>
      <c r="C479" t="s">
        <v>17</v>
      </c>
      <c r="D479" t="s">
        <v>15</v>
      </c>
    </row>
    <row r="481" spans="1:14" x14ac:dyDescent="0.35">
      <c r="B481" s="1" t="str">
        <f>'[8]Population Definitions'!$A$10</f>
        <v>oth_hm</v>
      </c>
    </row>
    <row r="482" spans="1:14" x14ac:dyDescent="0.35">
      <c r="A482" s="1" t="str">
        <f>'[8]Population Definitions'!$A$11</f>
        <v>nsep_hm</v>
      </c>
      <c r="B482" s="5" t="s">
        <v>148</v>
      </c>
    </row>
    <row r="484" spans="1:14" x14ac:dyDescent="0.35">
      <c r="A484" s="1" t="s">
        <v>149</v>
      </c>
      <c r="B484" s="1"/>
      <c r="C484" s="1" t="s">
        <v>150</v>
      </c>
      <c r="D484" s="1" t="s">
        <v>28</v>
      </c>
      <c r="E484" s="1" t="s">
        <v>29</v>
      </c>
      <c r="F484" s="1" t="s">
        <v>30</v>
      </c>
      <c r="G484" s="1" t="s">
        <v>31</v>
      </c>
      <c r="H484" s="1"/>
      <c r="I484" s="1">
        <v>2020</v>
      </c>
      <c r="J484" s="1">
        <v>2021</v>
      </c>
      <c r="K484" s="1">
        <v>2022</v>
      </c>
      <c r="L484" s="1">
        <v>2023</v>
      </c>
      <c r="M484" s="1">
        <v>2024</v>
      </c>
      <c r="N484" s="1">
        <v>2025</v>
      </c>
    </row>
    <row r="485" spans="1:14" x14ac:dyDescent="0.35">
      <c r="A485" s="1" t="str">
        <f>IF($B$482="Y",'[8]Population Definitions'!$A$11,"...")</f>
        <v>nsep_hm</v>
      </c>
      <c r="B485" s="4" t="str">
        <f>IF($B$482="Y","---&gt;","...")</f>
        <v>---&gt;</v>
      </c>
      <c r="C485" s="1" t="str">
        <f>IF($B$482="Y",'[8]Population Definitions'!$A$10,"...")</f>
        <v>oth_hm</v>
      </c>
      <c r="D485" t="s">
        <v>32</v>
      </c>
      <c r="E485" s="3" t="s">
        <v>120</v>
      </c>
      <c r="F485" s="3"/>
      <c r="G485" s="3">
        <v>1</v>
      </c>
      <c r="H485" s="4" t="str">
        <f>IF($B$482="Y","OR","...")</f>
        <v>OR</v>
      </c>
      <c r="I485" s="3"/>
      <c r="J485" s="3"/>
      <c r="K485" s="3"/>
      <c r="L485" s="3"/>
      <c r="M485" s="3"/>
      <c r="N485" s="3"/>
    </row>
    <row r="487" spans="1:14" x14ac:dyDescent="0.35">
      <c r="A487" s="1" t="s">
        <v>0</v>
      </c>
      <c r="B487" s="1" t="s">
        <v>1</v>
      </c>
      <c r="C487" s="1" t="s">
        <v>146</v>
      </c>
      <c r="D487" s="1" t="s">
        <v>147</v>
      </c>
    </row>
    <row r="488" spans="1:14" x14ac:dyDescent="0.35">
      <c r="A488" t="s">
        <v>252</v>
      </c>
      <c r="B488" t="s">
        <v>252</v>
      </c>
      <c r="C488" t="s">
        <v>15</v>
      </c>
      <c r="D488" t="s">
        <v>15</v>
      </c>
    </row>
    <row r="490" spans="1:14" x14ac:dyDescent="0.35">
      <c r="B490" s="1" t="str">
        <f>'[8]Population Definitions'!$A$10</f>
        <v>oth_hm</v>
      </c>
    </row>
    <row r="491" spans="1:14" x14ac:dyDescent="0.35">
      <c r="A491" s="1" t="str">
        <f>'[8]Population Definitions'!$A$10</f>
        <v>oth_hm</v>
      </c>
      <c r="B491" s="5" t="s">
        <v>148</v>
      </c>
    </row>
    <row r="493" spans="1:14" x14ac:dyDescent="0.35">
      <c r="A493" s="1" t="s">
        <v>149</v>
      </c>
      <c r="B493" s="1"/>
      <c r="C493" s="1" t="s">
        <v>150</v>
      </c>
      <c r="D493" s="1" t="s">
        <v>28</v>
      </c>
      <c r="E493" s="1" t="s">
        <v>29</v>
      </c>
      <c r="F493" s="1" t="s">
        <v>30</v>
      </c>
      <c r="G493" s="1" t="s">
        <v>31</v>
      </c>
      <c r="H493" s="1"/>
      <c r="I493" s="1">
        <v>2020</v>
      </c>
      <c r="J493" s="1">
        <v>2021</v>
      </c>
      <c r="K493" s="1">
        <v>2022</v>
      </c>
      <c r="L493" s="1">
        <v>2023</v>
      </c>
      <c r="M493" s="1">
        <v>2024</v>
      </c>
      <c r="N493" s="1">
        <v>2025</v>
      </c>
    </row>
    <row r="494" spans="1:14" x14ac:dyDescent="0.35">
      <c r="A494" s="1" t="str">
        <f>IF($B$491="Y",'[8]Population Definitions'!$A$10,"...")</f>
        <v>oth_hm</v>
      </c>
      <c r="B494" s="4" t="str">
        <f>IF($B$491="Y","---&gt;","...")</f>
        <v>---&gt;</v>
      </c>
      <c r="C494" s="1" t="str">
        <f>IF($B$491="Y",'[8]Population Definitions'!$A$10,"...")</f>
        <v>oth_hm</v>
      </c>
      <c r="D494" t="s">
        <v>32</v>
      </c>
      <c r="E494" s="3" t="s">
        <v>120</v>
      </c>
      <c r="F494" s="3"/>
      <c r="G494" s="3">
        <v>1</v>
      </c>
      <c r="H494" s="4" t="str">
        <f>IF($B$491="Y","OR","...")</f>
        <v>OR</v>
      </c>
      <c r="I494" s="3"/>
      <c r="J494" s="3"/>
      <c r="K494" s="3"/>
      <c r="L494" s="3"/>
      <c r="M494" s="3"/>
      <c r="N494" s="3"/>
    </row>
    <row r="496" spans="1:14" x14ac:dyDescent="0.35">
      <c r="A496" s="1" t="s">
        <v>0</v>
      </c>
      <c r="B496" s="1" t="s">
        <v>1</v>
      </c>
      <c r="C496" s="1" t="s">
        <v>146</v>
      </c>
      <c r="D496" s="1" t="s">
        <v>147</v>
      </c>
    </row>
    <row r="497" spans="1:14" x14ac:dyDescent="0.35">
      <c r="A497" t="s">
        <v>253</v>
      </c>
      <c r="B497" t="s">
        <v>253</v>
      </c>
      <c r="C497" t="s">
        <v>21</v>
      </c>
      <c r="D497" t="s">
        <v>15</v>
      </c>
    </row>
    <row r="499" spans="1:14" x14ac:dyDescent="0.35">
      <c r="B499" s="1" t="str">
        <f>'[8]Population Definitions'!$A$10</f>
        <v>oth_hm</v>
      </c>
    </row>
    <row r="500" spans="1:14" x14ac:dyDescent="0.35">
      <c r="A500" s="1" t="str">
        <f>'[8]Population Definitions'!$A$13</f>
        <v>rds_hm</v>
      </c>
      <c r="B500" s="5" t="s">
        <v>148</v>
      </c>
    </row>
    <row r="502" spans="1:14" x14ac:dyDescent="0.35">
      <c r="A502" s="1" t="s">
        <v>149</v>
      </c>
      <c r="B502" s="1"/>
      <c r="C502" s="1" t="s">
        <v>150</v>
      </c>
      <c r="D502" s="1" t="s">
        <v>28</v>
      </c>
      <c r="E502" s="1" t="s">
        <v>29</v>
      </c>
      <c r="F502" s="1" t="s">
        <v>30</v>
      </c>
      <c r="G502" s="1" t="s">
        <v>31</v>
      </c>
      <c r="H502" s="1"/>
      <c r="I502" s="1">
        <v>2020</v>
      </c>
      <c r="J502" s="1">
        <v>2021</v>
      </c>
      <c r="K502" s="1">
        <v>2022</v>
      </c>
      <c r="L502" s="1">
        <v>2023</v>
      </c>
      <c r="M502" s="1">
        <v>2024</v>
      </c>
      <c r="N502" s="1">
        <v>2025</v>
      </c>
    </row>
    <row r="503" spans="1:14" x14ac:dyDescent="0.35">
      <c r="A503" s="1" t="str">
        <f>IF($B$500="Y",'[8]Population Definitions'!$A$13,"...")</f>
        <v>rds_hm</v>
      </c>
      <c r="B503" s="4" t="str">
        <f>IF($B$500="Y","---&gt;","...")</f>
        <v>---&gt;</v>
      </c>
      <c r="C503" s="1" t="str">
        <f>IF($B$500="Y",'[8]Population Definitions'!$A$10,"...")</f>
        <v>oth_hm</v>
      </c>
      <c r="D503" t="s">
        <v>32</v>
      </c>
      <c r="E503" s="3" t="s">
        <v>120</v>
      </c>
      <c r="F503" s="3"/>
      <c r="G503" s="3">
        <v>1</v>
      </c>
      <c r="H503" s="4" t="str">
        <f>IF($B$500="Y","OR","...")</f>
        <v>OR</v>
      </c>
      <c r="I503" s="3"/>
      <c r="J503" s="3"/>
      <c r="K503" s="3"/>
      <c r="L503" s="3"/>
      <c r="M503" s="3"/>
      <c r="N503" s="3"/>
    </row>
    <row r="505" spans="1:14" x14ac:dyDescent="0.35">
      <c r="A505" s="1" t="s">
        <v>0</v>
      </c>
      <c r="B505" s="1" t="s">
        <v>1</v>
      </c>
      <c r="C505" s="1" t="s">
        <v>146</v>
      </c>
      <c r="D505" s="1" t="s">
        <v>147</v>
      </c>
    </row>
    <row r="506" spans="1:14" x14ac:dyDescent="0.35">
      <c r="A506" t="s">
        <v>254</v>
      </c>
      <c r="B506" t="s">
        <v>254</v>
      </c>
      <c r="C506" t="s">
        <v>25</v>
      </c>
      <c r="D506" t="s">
        <v>15</v>
      </c>
    </row>
    <row r="508" spans="1:14" x14ac:dyDescent="0.35">
      <c r="B508" s="1" t="str">
        <f>'[8]Population Definitions'!$A$10</f>
        <v>oth_hm</v>
      </c>
    </row>
    <row r="509" spans="1:14" x14ac:dyDescent="0.35">
      <c r="A509" s="1" t="str">
        <f>'[8]Population Definitions'!$A$15</f>
        <v>stunting_hm</v>
      </c>
      <c r="B509" s="5" t="s">
        <v>148</v>
      </c>
    </row>
    <row r="511" spans="1:14" x14ac:dyDescent="0.35">
      <c r="A511" s="1" t="s">
        <v>149</v>
      </c>
      <c r="B511" s="1"/>
      <c r="C511" s="1" t="s">
        <v>150</v>
      </c>
      <c r="D511" s="1" t="s">
        <v>28</v>
      </c>
      <c r="E511" s="1" t="s">
        <v>29</v>
      </c>
      <c r="F511" s="1" t="s">
        <v>30</v>
      </c>
      <c r="G511" s="1" t="s">
        <v>31</v>
      </c>
      <c r="H511" s="1"/>
      <c r="I511" s="1">
        <v>2020</v>
      </c>
      <c r="J511" s="1">
        <v>2021</v>
      </c>
      <c r="K511" s="1">
        <v>2022</v>
      </c>
      <c r="L511" s="1">
        <v>2023</v>
      </c>
      <c r="M511" s="1">
        <v>2024</v>
      </c>
      <c r="N511" s="1">
        <v>2025</v>
      </c>
    </row>
    <row r="512" spans="1:14" x14ac:dyDescent="0.35">
      <c r="A512" s="1" t="str">
        <f>IF($B$509="Y",'[8]Population Definitions'!$A$15,"...")</f>
        <v>stunting_hm</v>
      </c>
      <c r="B512" s="4" t="str">
        <f>IF($B$509="Y","---&gt;","...")</f>
        <v>---&gt;</v>
      </c>
      <c r="C512" s="1" t="str">
        <f>IF($B$509="Y",'[8]Population Definitions'!$A$10,"...")</f>
        <v>oth_hm</v>
      </c>
      <c r="D512" t="s">
        <v>32</v>
      </c>
      <c r="E512" s="3" t="s">
        <v>120</v>
      </c>
      <c r="F512" s="3"/>
      <c r="G512" s="3">
        <v>1</v>
      </c>
      <c r="H512" s="4" t="str">
        <f>IF($B$509="Y","OR","...")</f>
        <v>OR</v>
      </c>
      <c r="I512" s="3"/>
      <c r="J512" s="3"/>
      <c r="K512" s="3"/>
      <c r="L512" s="3"/>
      <c r="M512" s="3"/>
      <c r="N512" s="3"/>
    </row>
    <row r="514" spans="1:14" x14ac:dyDescent="0.35">
      <c r="A514" s="1" t="s">
        <v>0</v>
      </c>
      <c r="B514" s="1" t="s">
        <v>1</v>
      </c>
      <c r="C514" s="1" t="s">
        <v>146</v>
      </c>
      <c r="D514" s="1" t="s">
        <v>147</v>
      </c>
    </row>
    <row r="515" spans="1:14" x14ac:dyDescent="0.35">
      <c r="A515" t="s">
        <v>171</v>
      </c>
      <c r="B515" t="s">
        <v>171</v>
      </c>
      <c r="C515" t="s">
        <v>19</v>
      </c>
      <c r="D515" t="s">
        <v>17</v>
      </c>
    </row>
    <row r="517" spans="1:14" x14ac:dyDescent="0.35">
      <c r="B517" s="1" t="str">
        <f>'[8]Population Definitions'!$A$11</f>
        <v>nsep_hm</v>
      </c>
    </row>
    <row r="518" spans="1:14" x14ac:dyDescent="0.35">
      <c r="A518" s="1" t="str">
        <f>'[8]Population Definitions'!$A$12</f>
        <v>pt_hm</v>
      </c>
      <c r="B518" s="5" t="s">
        <v>148</v>
      </c>
    </row>
    <row r="520" spans="1:14" x14ac:dyDescent="0.35">
      <c r="A520" s="1" t="s">
        <v>149</v>
      </c>
      <c r="B520" s="1"/>
      <c r="C520" s="1" t="s">
        <v>150</v>
      </c>
      <c r="D520" s="1" t="s">
        <v>28</v>
      </c>
      <c r="E520" s="1" t="s">
        <v>29</v>
      </c>
      <c r="F520" s="1" t="s">
        <v>30</v>
      </c>
      <c r="G520" s="1" t="s">
        <v>31</v>
      </c>
      <c r="H520" s="1"/>
      <c r="I520" s="1">
        <v>2020</v>
      </c>
      <c r="J520" s="1">
        <v>2021</v>
      </c>
      <c r="K520" s="1">
        <v>2022</v>
      </c>
      <c r="L520" s="1">
        <v>2023</v>
      </c>
      <c r="M520" s="1">
        <v>2024</v>
      </c>
      <c r="N520" s="1">
        <v>2025</v>
      </c>
    </row>
    <row r="521" spans="1:14" x14ac:dyDescent="0.35">
      <c r="A521" s="1" t="str">
        <f>IF($B$518="Y",'[8]Population Definitions'!$A$12,"...")</f>
        <v>pt_hm</v>
      </c>
      <c r="B521" s="4" t="str">
        <f>IF($B$518="Y","---&gt;","...")</f>
        <v>---&gt;</v>
      </c>
      <c r="C521" s="1" t="str">
        <f>IF($B$518="Y",'[8]Population Definitions'!$A$11,"...")</f>
        <v>nsep_hm</v>
      </c>
      <c r="D521" t="s">
        <v>32</v>
      </c>
      <c r="E521" s="3" t="s">
        <v>120</v>
      </c>
      <c r="F521" s="3"/>
      <c r="G521" s="3">
        <v>1</v>
      </c>
      <c r="H521" s="4" t="str">
        <f>IF($B$518="Y","OR","...")</f>
        <v>OR</v>
      </c>
      <c r="I521" s="3"/>
      <c r="J521" s="3"/>
      <c r="K521" s="3"/>
      <c r="L521" s="3"/>
      <c r="M521" s="3"/>
      <c r="N521" s="3"/>
    </row>
    <row r="523" spans="1:14" x14ac:dyDescent="0.35">
      <c r="A523" s="1" t="s">
        <v>0</v>
      </c>
      <c r="B523" s="1" t="s">
        <v>1</v>
      </c>
      <c r="C523" s="1" t="s">
        <v>146</v>
      </c>
      <c r="D523" s="1" t="s">
        <v>147</v>
      </c>
    </row>
    <row r="524" spans="1:14" x14ac:dyDescent="0.35">
      <c r="A524" t="s">
        <v>240</v>
      </c>
      <c r="B524" t="s">
        <v>240</v>
      </c>
      <c r="C524" t="s">
        <v>3</v>
      </c>
      <c r="D524" t="s">
        <v>17</v>
      </c>
    </row>
    <row r="526" spans="1:14" x14ac:dyDescent="0.35">
      <c r="B526" s="1" t="str">
        <f>'[8]Population Definitions'!$A$11</f>
        <v>nsep_hm</v>
      </c>
    </row>
    <row r="527" spans="1:14" x14ac:dyDescent="0.35">
      <c r="A527" s="1" t="str">
        <f>'[8]Population Definitions'!$A$2</f>
        <v>anc_hm</v>
      </c>
      <c r="B527" s="5" t="s">
        <v>148</v>
      </c>
    </row>
    <row r="529" spans="1:14" x14ac:dyDescent="0.35">
      <c r="A529" s="1" t="s">
        <v>149</v>
      </c>
      <c r="B529" s="1"/>
      <c r="C529" s="1" t="s">
        <v>150</v>
      </c>
      <c r="D529" s="1" t="s">
        <v>28</v>
      </c>
      <c r="E529" s="1" t="s">
        <v>29</v>
      </c>
      <c r="F529" s="1" t="s">
        <v>30</v>
      </c>
      <c r="G529" s="1" t="s">
        <v>31</v>
      </c>
      <c r="H529" s="1"/>
      <c r="I529" s="1">
        <v>2020</v>
      </c>
      <c r="J529" s="1">
        <v>2021</v>
      </c>
      <c r="K529" s="1">
        <v>2022</v>
      </c>
      <c r="L529" s="1">
        <v>2023</v>
      </c>
      <c r="M529" s="1">
        <v>2024</v>
      </c>
      <c r="N529" s="1">
        <v>2025</v>
      </c>
    </row>
    <row r="530" spans="1:14" x14ac:dyDescent="0.35">
      <c r="A530" s="1" t="str">
        <f>IF($B$527="Y",'[8]Population Definitions'!$A$2,"...")</f>
        <v>anc_hm</v>
      </c>
      <c r="B530" s="4" t="str">
        <f>IF($B$527="Y","---&gt;","...")</f>
        <v>---&gt;</v>
      </c>
      <c r="C530" s="1" t="str">
        <f>IF($B$527="Y",'[8]Population Definitions'!$A$11,"...")</f>
        <v>nsep_hm</v>
      </c>
      <c r="D530" t="s">
        <v>32</v>
      </c>
      <c r="E530" s="3" t="s">
        <v>120</v>
      </c>
      <c r="F530" s="3"/>
      <c r="G530" s="3">
        <v>1</v>
      </c>
      <c r="H530" s="4" t="str">
        <f>IF($B$527="Y","OR","...")</f>
        <v>OR</v>
      </c>
      <c r="I530" s="3"/>
      <c r="J530" s="3"/>
      <c r="K530" s="3"/>
      <c r="L530" s="3"/>
      <c r="M530" s="3"/>
      <c r="N530" s="3"/>
    </row>
    <row r="532" spans="1:14" x14ac:dyDescent="0.35">
      <c r="A532" s="1" t="s">
        <v>0</v>
      </c>
      <c r="B532" s="1" t="s">
        <v>1</v>
      </c>
      <c r="C532" s="1" t="s">
        <v>146</v>
      </c>
      <c r="D532" s="1" t="s">
        <v>147</v>
      </c>
    </row>
    <row r="533" spans="1:14" x14ac:dyDescent="0.35">
      <c r="A533" t="s">
        <v>169</v>
      </c>
      <c r="B533" t="s">
        <v>169</v>
      </c>
      <c r="C533" t="s">
        <v>5</v>
      </c>
      <c r="D533" t="s">
        <v>17</v>
      </c>
    </row>
    <row r="535" spans="1:14" x14ac:dyDescent="0.35">
      <c r="B535" s="1" t="str">
        <f>'[8]Population Definitions'!$A$11</f>
        <v>nsep_hm</v>
      </c>
    </row>
    <row r="536" spans="1:14" x14ac:dyDescent="0.35">
      <c r="A536" s="1" t="str">
        <f>'[8]Population Definitions'!$A$3</f>
        <v>asx_hm</v>
      </c>
      <c r="B536" s="5" t="s">
        <v>148</v>
      </c>
    </row>
    <row r="538" spans="1:14" x14ac:dyDescent="0.35">
      <c r="A538" s="1" t="s">
        <v>149</v>
      </c>
      <c r="B538" s="1"/>
      <c r="C538" s="1" t="s">
        <v>150</v>
      </c>
      <c r="D538" s="1" t="s">
        <v>28</v>
      </c>
      <c r="E538" s="1" t="s">
        <v>29</v>
      </c>
      <c r="F538" s="1" t="s">
        <v>30</v>
      </c>
      <c r="G538" s="1" t="s">
        <v>31</v>
      </c>
      <c r="H538" s="1"/>
      <c r="I538" s="1">
        <v>2020</v>
      </c>
      <c r="J538" s="1">
        <v>2021</v>
      </c>
      <c r="K538" s="1">
        <v>2022</v>
      </c>
      <c r="L538" s="1">
        <v>2023</v>
      </c>
      <c r="M538" s="1">
        <v>2024</v>
      </c>
      <c r="N538" s="1">
        <v>2025</v>
      </c>
    </row>
    <row r="539" spans="1:14" x14ac:dyDescent="0.35">
      <c r="A539" s="1" t="str">
        <f>IF($B$536="Y",'[8]Population Definitions'!$A$3,"...")</f>
        <v>asx_hm</v>
      </c>
      <c r="B539" s="4" t="str">
        <f>IF($B$536="Y","---&gt;","...")</f>
        <v>---&gt;</v>
      </c>
      <c r="C539" s="1" t="str">
        <f>IF($B$536="Y",'[8]Population Definitions'!$A$11,"...")</f>
        <v>nsep_hm</v>
      </c>
      <c r="D539" t="s">
        <v>32</v>
      </c>
      <c r="E539" s="3" t="s">
        <v>120</v>
      </c>
      <c r="F539" s="3"/>
      <c r="G539" s="3">
        <v>1</v>
      </c>
      <c r="H539" s="4" t="str">
        <f>IF($B$536="Y","OR","...")</f>
        <v>OR</v>
      </c>
      <c r="I539" s="3"/>
      <c r="J539" s="3"/>
      <c r="K539" s="3"/>
      <c r="L539" s="3"/>
      <c r="M539" s="3"/>
      <c r="N539" s="3"/>
    </row>
    <row r="541" spans="1:14" x14ac:dyDescent="0.35">
      <c r="A541" s="1" t="s">
        <v>0</v>
      </c>
      <c r="B541" s="1" t="s">
        <v>1</v>
      </c>
      <c r="C541" s="1" t="s">
        <v>146</v>
      </c>
      <c r="D541" s="1" t="s">
        <v>147</v>
      </c>
    </row>
    <row r="542" spans="1:14" x14ac:dyDescent="0.35">
      <c r="A542" t="s">
        <v>255</v>
      </c>
      <c r="B542" t="s">
        <v>255</v>
      </c>
      <c r="C542" t="s">
        <v>17</v>
      </c>
      <c r="D542" t="s">
        <v>17</v>
      </c>
    </row>
    <row r="544" spans="1:14" x14ac:dyDescent="0.35">
      <c r="B544" s="1" t="str">
        <f>'[8]Population Definitions'!$A$11</f>
        <v>nsep_hm</v>
      </c>
    </row>
    <row r="545" spans="1:14" x14ac:dyDescent="0.35">
      <c r="A545" s="1" t="str">
        <f>'[8]Population Definitions'!$A$11</f>
        <v>nsep_hm</v>
      </c>
      <c r="B545" s="5" t="s">
        <v>148</v>
      </c>
    </row>
    <row r="547" spans="1:14" x14ac:dyDescent="0.35">
      <c r="A547" s="1" t="s">
        <v>149</v>
      </c>
      <c r="B547" s="1"/>
      <c r="C547" s="1" t="s">
        <v>150</v>
      </c>
      <c r="D547" s="1" t="s">
        <v>28</v>
      </c>
      <c r="E547" s="1" t="s">
        <v>29</v>
      </c>
      <c r="F547" s="1" t="s">
        <v>30</v>
      </c>
      <c r="G547" s="1" t="s">
        <v>31</v>
      </c>
      <c r="H547" s="1"/>
      <c r="I547" s="1">
        <v>2020</v>
      </c>
      <c r="J547" s="1">
        <v>2021</v>
      </c>
      <c r="K547" s="1">
        <v>2022</v>
      </c>
      <c r="L547" s="1">
        <v>2023</v>
      </c>
      <c r="M547" s="1">
        <v>2024</v>
      </c>
      <c r="N547" s="1">
        <v>2025</v>
      </c>
    </row>
    <row r="548" spans="1:14" x14ac:dyDescent="0.35">
      <c r="A548" s="1" t="str">
        <f>IF($B$545="Y",'[8]Population Definitions'!$A$11,"...")</f>
        <v>nsep_hm</v>
      </c>
      <c r="B548" s="4" t="str">
        <f>IF($B$545="Y","---&gt;","...")</f>
        <v>---&gt;</v>
      </c>
      <c r="C548" s="1" t="str">
        <f>IF($B$545="Y",'[8]Population Definitions'!$A$11,"...")</f>
        <v>nsep_hm</v>
      </c>
      <c r="D548" t="s">
        <v>32</v>
      </c>
      <c r="E548" s="3" t="s">
        <v>120</v>
      </c>
      <c r="F548" s="3"/>
      <c r="G548" s="3">
        <v>1</v>
      </c>
      <c r="H548" s="4" t="str">
        <f>IF($B$545="Y","OR","...")</f>
        <v>OR</v>
      </c>
      <c r="I548" s="3"/>
      <c r="J548" s="3"/>
      <c r="K548" s="3"/>
      <c r="L548" s="3"/>
      <c r="M548" s="3"/>
      <c r="N548" s="3"/>
    </row>
    <row r="550" spans="1:14" x14ac:dyDescent="0.35">
      <c r="A550" s="1" t="s">
        <v>0</v>
      </c>
      <c r="B550" s="1" t="s">
        <v>1</v>
      </c>
      <c r="C550" s="1" t="s">
        <v>146</v>
      </c>
      <c r="D550" s="1" t="s">
        <v>147</v>
      </c>
    </row>
    <row r="551" spans="1:14" x14ac:dyDescent="0.35">
      <c r="A551" t="s">
        <v>256</v>
      </c>
      <c r="B551" t="s">
        <v>256</v>
      </c>
      <c r="C551" t="s">
        <v>15</v>
      </c>
      <c r="D551" t="s">
        <v>17</v>
      </c>
    </row>
    <row r="553" spans="1:14" x14ac:dyDescent="0.35">
      <c r="B553" s="1" t="str">
        <f>'[8]Population Definitions'!$A$11</f>
        <v>nsep_hm</v>
      </c>
    </row>
    <row r="554" spans="1:14" x14ac:dyDescent="0.35">
      <c r="A554" s="1" t="str">
        <f>'[8]Population Definitions'!$A$10</f>
        <v>oth_hm</v>
      </c>
      <c r="B554" s="5" t="s">
        <v>148</v>
      </c>
    </row>
    <row r="556" spans="1:14" x14ac:dyDescent="0.35">
      <c r="A556" s="1" t="s">
        <v>149</v>
      </c>
      <c r="B556" s="1"/>
      <c r="C556" s="1" t="s">
        <v>150</v>
      </c>
      <c r="D556" s="1" t="s">
        <v>28</v>
      </c>
      <c r="E556" s="1" t="s">
        <v>29</v>
      </c>
      <c r="F556" s="1" t="s">
        <v>30</v>
      </c>
      <c r="G556" s="1" t="s">
        <v>31</v>
      </c>
      <c r="H556" s="1"/>
      <c r="I556" s="1">
        <v>2020</v>
      </c>
      <c r="J556" s="1">
        <v>2021</v>
      </c>
      <c r="K556" s="1">
        <v>2022</v>
      </c>
      <c r="L556" s="1">
        <v>2023</v>
      </c>
      <c r="M556" s="1">
        <v>2024</v>
      </c>
      <c r="N556" s="1">
        <v>2025</v>
      </c>
    </row>
    <row r="557" spans="1:14" x14ac:dyDescent="0.35">
      <c r="A557" s="1" t="str">
        <f>IF($B$554="Y",'[8]Population Definitions'!$A$10,"...")</f>
        <v>oth_hm</v>
      </c>
      <c r="B557" s="4" t="str">
        <f>IF($B$554="Y","---&gt;","...")</f>
        <v>---&gt;</v>
      </c>
      <c r="C557" s="1" t="str">
        <f>IF($B$554="Y",'[8]Population Definitions'!$A$11,"...")</f>
        <v>nsep_hm</v>
      </c>
      <c r="D557" t="s">
        <v>32</v>
      </c>
      <c r="E557" s="3" t="s">
        <v>120</v>
      </c>
      <c r="F557" s="3"/>
      <c r="G557" s="3">
        <v>1</v>
      </c>
      <c r="H557" s="4" t="str">
        <f>IF($B$554="Y","OR","...")</f>
        <v>OR</v>
      </c>
      <c r="I557" s="3"/>
      <c r="J557" s="3"/>
      <c r="K557" s="3"/>
      <c r="L557" s="3"/>
      <c r="M557" s="3"/>
      <c r="N557" s="3"/>
    </row>
    <row r="559" spans="1:14" x14ac:dyDescent="0.35">
      <c r="A559" s="1" t="s">
        <v>0</v>
      </c>
      <c r="B559" s="1" t="s">
        <v>1</v>
      </c>
      <c r="C559" s="1" t="s">
        <v>146</v>
      </c>
      <c r="D559" s="1" t="s">
        <v>147</v>
      </c>
    </row>
    <row r="560" spans="1:14" x14ac:dyDescent="0.35">
      <c r="A560" t="s">
        <v>257</v>
      </c>
      <c r="B560" t="s">
        <v>257</v>
      </c>
      <c r="C560" t="s">
        <v>21</v>
      </c>
      <c r="D560" t="s">
        <v>17</v>
      </c>
    </row>
    <row r="562" spans="1:14" x14ac:dyDescent="0.35">
      <c r="B562" s="1" t="str">
        <f>'[8]Population Definitions'!$A$11</f>
        <v>nsep_hm</v>
      </c>
    </row>
    <row r="563" spans="1:14" x14ac:dyDescent="0.35">
      <c r="A563" s="1" t="str">
        <f>'[8]Population Definitions'!$A$13</f>
        <v>rds_hm</v>
      </c>
      <c r="B563" s="5" t="s">
        <v>148</v>
      </c>
    </row>
    <row r="565" spans="1:14" x14ac:dyDescent="0.35">
      <c r="A565" s="1" t="s">
        <v>149</v>
      </c>
      <c r="B565" s="1"/>
      <c r="C565" s="1" t="s">
        <v>150</v>
      </c>
      <c r="D565" s="1" t="s">
        <v>28</v>
      </c>
      <c r="E565" s="1" t="s">
        <v>29</v>
      </c>
      <c r="F565" s="1" t="s">
        <v>30</v>
      </c>
      <c r="G565" s="1" t="s">
        <v>31</v>
      </c>
      <c r="H565" s="1"/>
      <c r="I565" s="1">
        <v>2020</v>
      </c>
      <c r="J565" s="1">
        <v>2021</v>
      </c>
      <c r="K565" s="1">
        <v>2022</v>
      </c>
      <c r="L565" s="1">
        <v>2023</v>
      </c>
      <c r="M565" s="1">
        <v>2024</v>
      </c>
      <c r="N565" s="1">
        <v>2025</v>
      </c>
    </row>
    <row r="566" spans="1:14" x14ac:dyDescent="0.35">
      <c r="A566" s="1" t="str">
        <f>IF($B$563="Y",'[8]Population Definitions'!$A$13,"...")</f>
        <v>rds_hm</v>
      </c>
      <c r="B566" s="4" t="str">
        <f>IF($B$563="Y","---&gt;","...")</f>
        <v>---&gt;</v>
      </c>
      <c r="C566" s="1" t="str">
        <f>IF($B$563="Y",'[8]Population Definitions'!$A$11,"...")</f>
        <v>nsep_hm</v>
      </c>
      <c r="D566" t="s">
        <v>32</v>
      </c>
      <c r="E566" s="3" t="s">
        <v>120</v>
      </c>
      <c r="F566" s="3"/>
      <c r="G566" s="3">
        <v>1</v>
      </c>
      <c r="H566" s="4" t="str">
        <f>IF($B$563="Y","OR","...")</f>
        <v>OR</v>
      </c>
      <c r="I566" s="3"/>
      <c r="J566" s="3"/>
      <c r="K566" s="3"/>
      <c r="L566" s="3"/>
      <c r="M566" s="3"/>
      <c r="N566" s="3"/>
    </row>
    <row r="568" spans="1:14" x14ac:dyDescent="0.35">
      <c r="A568" s="1" t="s">
        <v>0</v>
      </c>
      <c r="B568" s="1" t="s">
        <v>1</v>
      </c>
      <c r="C568" s="1" t="s">
        <v>146</v>
      </c>
      <c r="D568" s="1" t="s">
        <v>147</v>
      </c>
    </row>
    <row r="569" spans="1:14" x14ac:dyDescent="0.35">
      <c r="A569" t="s">
        <v>258</v>
      </c>
      <c r="B569" t="s">
        <v>258</v>
      </c>
      <c r="C569" t="s">
        <v>25</v>
      </c>
      <c r="D569" t="s">
        <v>17</v>
      </c>
    </row>
    <row r="571" spans="1:14" x14ac:dyDescent="0.35">
      <c r="B571" s="1" t="str">
        <f>'[8]Population Definitions'!$A$11</f>
        <v>nsep_hm</v>
      </c>
    </row>
    <row r="572" spans="1:14" x14ac:dyDescent="0.35">
      <c r="A572" s="1" t="str">
        <f>'[8]Population Definitions'!$A$15</f>
        <v>stunting_hm</v>
      </c>
      <c r="B572" s="5" t="s">
        <v>148</v>
      </c>
    </row>
    <row r="574" spans="1:14" x14ac:dyDescent="0.35">
      <c r="A574" s="1" t="s">
        <v>149</v>
      </c>
      <c r="B574" s="1"/>
      <c r="C574" s="1" t="s">
        <v>150</v>
      </c>
      <c r="D574" s="1" t="s">
        <v>28</v>
      </c>
      <c r="E574" s="1" t="s">
        <v>29</v>
      </c>
      <c r="F574" s="1" t="s">
        <v>30</v>
      </c>
      <c r="G574" s="1" t="s">
        <v>31</v>
      </c>
      <c r="H574" s="1"/>
      <c r="I574" s="1">
        <v>2020</v>
      </c>
      <c r="J574" s="1">
        <v>2021</v>
      </c>
      <c r="K574" s="1">
        <v>2022</v>
      </c>
      <c r="L574" s="1">
        <v>2023</v>
      </c>
      <c r="M574" s="1">
        <v>2024</v>
      </c>
      <c r="N574" s="1">
        <v>2025</v>
      </c>
    </row>
    <row r="575" spans="1:14" x14ac:dyDescent="0.35">
      <c r="A575" s="1" t="str">
        <f>IF($B$572="Y",'[8]Population Definitions'!$A$15,"...")</f>
        <v>stunting_hm</v>
      </c>
      <c r="B575" s="4" t="str">
        <f>IF($B$572="Y","---&gt;","...")</f>
        <v>---&gt;</v>
      </c>
      <c r="C575" s="1" t="str">
        <f>IF($B$572="Y",'[8]Population Definitions'!$A$11,"...")</f>
        <v>nsep_hm</v>
      </c>
      <c r="D575" t="s">
        <v>32</v>
      </c>
      <c r="E575" s="3" t="s">
        <v>120</v>
      </c>
      <c r="F575" s="3"/>
      <c r="G575" s="3">
        <v>1</v>
      </c>
      <c r="H575" s="4" t="str">
        <f>IF($B$572="Y","OR","...")</f>
        <v>OR</v>
      </c>
      <c r="I575" s="3"/>
      <c r="J575" s="3"/>
      <c r="K575" s="3"/>
      <c r="L575" s="3"/>
      <c r="M575" s="3"/>
      <c r="N575" s="3"/>
    </row>
    <row r="577" spans="1:14" x14ac:dyDescent="0.35">
      <c r="A577" s="1" t="s">
        <v>0</v>
      </c>
      <c r="B577" s="1" t="s">
        <v>1</v>
      </c>
      <c r="C577" s="1" t="s">
        <v>146</v>
      </c>
      <c r="D577" s="1" t="s">
        <v>147</v>
      </c>
    </row>
    <row r="578" spans="1:14" x14ac:dyDescent="0.35">
      <c r="A578" t="s">
        <v>170</v>
      </c>
      <c r="B578" t="s">
        <v>170</v>
      </c>
      <c r="C578" t="s">
        <v>11</v>
      </c>
      <c r="D578" t="s">
        <v>17</v>
      </c>
    </row>
    <row r="580" spans="1:14" x14ac:dyDescent="0.35">
      <c r="B580" s="1" t="str">
        <f>'[8]Population Definitions'!$A$11</f>
        <v>nsep_hm</v>
      </c>
    </row>
    <row r="581" spans="1:14" x14ac:dyDescent="0.35">
      <c r="A581" s="1" t="str">
        <f>'[8]Population Definitions'!$A$6</f>
        <v>msep_hm</v>
      </c>
      <c r="B581" s="5" t="s">
        <v>148</v>
      </c>
    </row>
    <row r="583" spans="1:14" x14ac:dyDescent="0.35">
      <c r="A583" s="1" t="s">
        <v>149</v>
      </c>
      <c r="B583" s="1"/>
      <c r="C583" s="1" t="s">
        <v>150</v>
      </c>
      <c r="D583" s="1" t="s">
        <v>28</v>
      </c>
      <c r="E583" s="1" t="s">
        <v>29</v>
      </c>
      <c r="F583" s="1" t="s">
        <v>30</v>
      </c>
      <c r="G583" s="1" t="s">
        <v>31</v>
      </c>
      <c r="H583" s="1"/>
      <c r="I583" s="1">
        <v>2020</v>
      </c>
      <c r="J583" s="1">
        <v>2021</v>
      </c>
      <c r="K583" s="1">
        <v>2022</v>
      </c>
      <c r="L583" s="1">
        <v>2023</v>
      </c>
      <c r="M583" s="1">
        <v>2024</v>
      </c>
      <c r="N583" s="1">
        <v>2025</v>
      </c>
    </row>
    <row r="584" spans="1:14" x14ac:dyDescent="0.35">
      <c r="A584" s="1" t="str">
        <f>IF($B$581="Y",'[8]Population Definitions'!$A$6,"...")</f>
        <v>msep_hm</v>
      </c>
      <c r="B584" s="4" t="str">
        <f>IF($B$581="Y","---&gt;","...")</f>
        <v>---&gt;</v>
      </c>
      <c r="C584" s="1" t="str">
        <f>IF($B$581="Y",'[8]Population Definitions'!$A$11,"...")</f>
        <v>nsep_hm</v>
      </c>
      <c r="D584" t="s">
        <v>32</v>
      </c>
      <c r="E584" s="3" t="s">
        <v>120</v>
      </c>
      <c r="F584" s="3"/>
      <c r="G584" s="3">
        <v>1</v>
      </c>
      <c r="H584" s="4" t="str">
        <f>IF($B$581="Y","OR","...")</f>
        <v>OR</v>
      </c>
      <c r="I584" s="3"/>
      <c r="J584" s="3"/>
      <c r="K584" s="3"/>
      <c r="L584" s="3"/>
      <c r="M584" s="3"/>
      <c r="N584" s="3"/>
    </row>
    <row r="586" spans="1:14" x14ac:dyDescent="0.35">
      <c r="A586" s="1" t="s">
        <v>0</v>
      </c>
      <c r="B586" s="1" t="s">
        <v>1</v>
      </c>
      <c r="C586" s="1" t="s">
        <v>146</v>
      </c>
      <c r="D586" s="1" t="s">
        <v>147</v>
      </c>
    </row>
    <row r="587" spans="1:14" x14ac:dyDescent="0.35">
      <c r="A587" t="s">
        <v>172</v>
      </c>
      <c r="B587" t="s">
        <v>172</v>
      </c>
      <c r="C587" t="s">
        <v>3</v>
      </c>
      <c r="D587" t="s">
        <v>19</v>
      </c>
    </row>
    <row r="589" spans="1:14" x14ac:dyDescent="0.35">
      <c r="B589" s="1" t="str">
        <f>'[8]Population Definitions'!$A$12</f>
        <v>pt_hm</v>
      </c>
    </row>
    <row r="590" spans="1:14" x14ac:dyDescent="0.35">
      <c r="A590" s="1" t="str">
        <f>'[8]Population Definitions'!$A$2</f>
        <v>anc_hm</v>
      </c>
      <c r="B590" s="5" t="s">
        <v>148</v>
      </c>
    </row>
    <row r="592" spans="1:14" x14ac:dyDescent="0.35">
      <c r="A592" s="1" t="s">
        <v>149</v>
      </c>
      <c r="B592" s="1"/>
      <c r="C592" s="1" t="s">
        <v>150</v>
      </c>
      <c r="D592" s="1" t="s">
        <v>28</v>
      </c>
      <c r="E592" s="1" t="s">
        <v>29</v>
      </c>
      <c r="F592" s="1" t="s">
        <v>30</v>
      </c>
      <c r="G592" s="1" t="s">
        <v>31</v>
      </c>
      <c r="H592" s="1"/>
      <c r="I592" s="1">
        <v>2020</v>
      </c>
      <c r="J592" s="1">
        <v>2021</v>
      </c>
      <c r="K592" s="1">
        <v>2022</v>
      </c>
      <c r="L592" s="1">
        <v>2023</v>
      </c>
      <c r="M592" s="1">
        <v>2024</v>
      </c>
      <c r="N592" s="1">
        <v>2025</v>
      </c>
    </row>
    <row r="593" spans="1:14" x14ac:dyDescent="0.35">
      <c r="A593" s="1" t="str">
        <f>IF($B$590="Y",'[8]Population Definitions'!$A$2,"...")</f>
        <v>anc_hm</v>
      </c>
      <c r="B593" s="4" t="str">
        <f>IF($B$590="Y","---&gt;","...")</f>
        <v>---&gt;</v>
      </c>
      <c r="C593" s="1" t="str">
        <f>IF($B$590="Y",'[8]Population Definitions'!$A$12,"...")</f>
        <v>pt_hm</v>
      </c>
      <c r="D593" t="s">
        <v>32</v>
      </c>
      <c r="E593" s="3" t="s">
        <v>120</v>
      </c>
      <c r="F593" s="3"/>
      <c r="G593" s="3">
        <v>1</v>
      </c>
      <c r="H593" s="4" t="str">
        <f>IF($B$590="Y","OR","...")</f>
        <v>OR</v>
      </c>
      <c r="I593" s="3"/>
      <c r="J593" s="3"/>
      <c r="K593" s="3"/>
      <c r="L593" s="3"/>
      <c r="M593" s="3"/>
      <c r="N593" s="3"/>
    </row>
    <row r="595" spans="1:14" x14ac:dyDescent="0.35">
      <c r="A595" s="1" t="s">
        <v>0</v>
      </c>
      <c r="B595" s="1" t="s">
        <v>1</v>
      </c>
      <c r="C595" s="1" t="s">
        <v>146</v>
      </c>
      <c r="D595" s="1" t="s">
        <v>147</v>
      </c>
    </row>
    <row r="596" spans="1:14" x14ac:dyDescent="0.35">
      <c r="A596" t="s">
        <v>174</v>
      </c>
      <c r="B596" t="s">
        <v>174</v>
      </c>
      <c r="C596" t="s">
        <v>13</v>
      </c>
      <c r="D596" t="s">
        <v>19</v>
      </c>
    </row>
    <row r="598" spans="1:14" x14ac:dyDescent="0.35">
      <c r="B598" s="1" t="str">
        <f>'[8]Population Definitions'!$A$12</f>
        <v>pt_hm</v>
      </c>
    </row>
    <row r="599" spans="1:14" x14ac:dyDescent="0.35">
      <c r="A599" s="1" t="str">
        <f>'[8]Population Definitions'!$A$9</f>
        <v>ol_hm</v>
      </c>
      <c r="B599" s="5" t="s">
        <v>148</v>
      </c>
    </row>
    <row r="601" spans="1:14" x14ac:dyDescent="0.35">
      <c r="A601" s="1" t="s">
        <v>149</v>
      </c>
      <c r="B601" s="1"/>
      <c r="C601" s="1" t="s">
        <v>150</v>
      </c>
      <c r="D601" s="1" t="s">
        <v>28</v>
      </c>
      <c r="E601" s="1" t="s">
        <v>29</v>
      </c>
      <c r="F601" s="1" t="s">
        <v>30</v>
      </c>
      <c r="G601" s="1" t="s">
        <v>31</v>
      </c>
      <c r="H601" s="1"/>
      <c r="I601" s="1">
        <v>2020</v>
      </c>
      <c r="J601" s="1">
        <v>2021</v>
      </c>
      <c r="K601" s="1">
        <v>2022</v>
      </c>
      <c r="L601" s="1">
        <v>2023</v>
      </c>
      <c r="M601" s="1">
        <v>2024</v>
      </c>
      <c r="N601" s="1">
        <v>2025</v>
      </c>
    </row>
    <row r="602" spans="1:14" x14ac:dyDescent="0.35">
      <c r="A602" s="1" t="str">
        <f>IF($B$599="Y",'[8]Population Definitions'!$A$9,"...")</f>
        <v>ol_hm</v>
      </c>
      <c r="B602" s="4" t="str">
        <f>IF($B$599="Y","---&gt;","...")</f>
        <v>---&gt;</v>
      </c>
      <c r="C602" s="1" t="str">
        <f>IF($B$599="Y",'[8]Population Definitions'!$A$12,"...")</f>
        <v>pt_hm</v>
      </c>
      <c r="D602" t="s">
        <v>32</v>
      </c>
      <c r="E602" s="3" t="s">
        <v>120</v>
      </c>
      <c r="F602" s="3"/>
      <c r="G602" s="3">
        <v>1</v>
      </c>
      <c r="H602" s="4" t="str">
        <f>IF($B$599="Y","OR","...")</f>
        <v>OR</v>
      </c>
      <c r="I602" s="3"/>
      <c r="J602" s="3"/>
      <c r="K602" s="3"/>
      <c r="L602" s="3"/>
      <c r="M602" s="3"/>
      <c r="N602" s="3"/>
    </row>
    <row r="604" spans="1:14" x14ac:dyDescent="0.35">
      <c r="A604" s="1" t="s">
        <v>0</v>
      </c>
      <c r="B604" s="1" t="s">
        <v>1</v>
      </c>
      <c r="C604" s="1" t="s">
        <v>146</v>
      </c>
      <c r="D604" s="1" t="s">
        <v>147</v>
      </c>
    </row>
    <row r="605" spans="1:14" x14ac:dyDescent="0.35">
      <c r="A605" t="s">
        <v>173</v>
      </c>
      <c r="B605" t="s">
        <v>173</v>
      </c>
      <c r="C605" t="s">
        <v>9</v>
      </c>
      <c r="D605" t="s">
        <v>19</v>
      </c>
    </row>
    <row r="607" spans="1:14" x14ac:dyDescent="0.35">
      <c r="B607" s="1" t="str">
        <f>'[8]Population Definitions'!$A$12</f>
        <v>pt_hm</v>
      </c>
    </row>
    <row r="608" spans="1:14" x14ac:dyDescent="0.35">
      <c r="A608" s="1" t="str">
        <f>'[8]Population Definitions'!$A$5</f>
        <v>hm_hm</v>
      </c>
      <c r="B608" s="5" t="s">
        <v>148</v>
      </c>
    </row>
    <row r="610" spans="1:14" x14ac:dyDescent="0.35">
      <c r="A610" s="1" t="s">
        <v>149</v>
      </c>
      <c r="B610" s="1"/>
      <c r="C610" s="1" t="s">
        <v>150</v>
      </c>
      <c r="D610" s="1" t="s">
        <v>28</v>
      </c>
      <c r="E610" s="1" t="s">
        <v>29</v>
      </c>
      <c r="F610" s="1" t="s">
        <v>30</v>
      </c>
      <c r="G610" s="1" t="s">
        <v>31</v>
      </c>
      <c r="H610" s="1"/>
      <c r="I610" s="1">
        <v>2020</v>
      </c>
      <c r="J610" s="1">
        <v>2021</v>
      </c>
      <c r="K610" s="1">
        <v>2022</v>
      </c>
      <c r="L610" s="1">
        <v>2023</v>
      </c>
      <c r="M610" s="1">
        <v>2024</v>
      </c>
      <c r="N610" s="1">
        <v>2025</v>
      </c>
    </row>
    <row r="611" spans="1:14" x14ac:dyDescent="0.35">
      <c r="A611" s="1" t="str">
        <f>IF($B$608="Y",'[8]Population Definitions'!$A$5,"...")</f>
        <v>hm_hm</v>
      </c>
      <c r="B611" s="4" t="str">
        <f>IF($B$608="Y","---&gt;","...")</f>
        <v>---&gt;</v>
      </c>
      <c r="C611" s="1" t="str">
        <f>IF($B$608="Y",'[8]Population Definitions'!$A$12,"...")</f>
        <v>pt_hm</v>
      </c>
      <c r="D611" t="s">
        <v>32</v>
      </c>
      <c r="E611" s="3" t="s">
        <v>120</v>
      </c>
      <c r="F611" s="3"/>
      <c r="G611" s="3">
        <v>1</v>
      </c>
      <c r="H611" s="4" t="str">
        <f>IF($B$608="Y","OR","...")</f>
        <v>OR</v>
      </c>
      <c r="I611" s="3"/>
      <c r="J611" s="3"/>
      <c r="K611" s="3"/>
      <c r="L611" s="3"/>
      <c r="M611" s="3"/>
      <c r="N611" s="3"/>
    </row>
    <row r="613" spans="1:14" x14ac:dyDescent="0.35">
      <c r="A613" s="1" t="s">
        <v>0</v>
      </c>
      <c r="B613" s="1" t="s">
        <v>1</v>
      </c>
      <c r="C613" s="1" t="s">
        <v>146</v>
      </c>
      <c r="D613" s="1" t="s">
        <v>147</v>
      </c>
    </row>
    <row r="614" spans="1:14" x14ac:dyDescent="0.35">
      <c r="A614" t="s">
        <v>176</v>
      </c>
      <c r="B614" t="s">
        <v>176</v>
      </c>
      <c r="C614" t="s">
        <v>11</v>
      </c>
      <c r="D614" t="s">
        <v>19</v>
      </c>
    </row>
    <row r="616" spans="1:14" x14ac:dyDescent="0.35">
      <c r="B616" s="1" t="str">
        <f>'[8]Population Definitions'!$A$12</f>
        <v>pt_hm</v>
      </c>
    </row>
    <row r="617" spans="1:14" x14ac:dyDescent="0.35">
      <c r="A617" s="1" t="str">
        <f>'[8]Population Definitions'!$A$6</f>
        <v>msep_hm</v>
      </c>
      <c r="B617" s="5" t="s">
        <v>148</v>
      </c>
    </row>
    <row r="619" spans="1:14" x14ac:dyDescent="0.35">
      <c r="A619" s="1" t="s">
        <v>149</v>
      </c>
      <c r="B619" s="1"/>
      <c r="C619" s="1" t="s">
        <v>150</v>
      </c>
      <c r="D619" s="1" t="s">
        <v>28</v>
      </c>
      <c r="E619" s="1" t="s">
        <v>29</v>
      </c>
      <c r="F619" s="1" t="s">
        <v>30</v>
      </c>
      <c r="G619" s="1" t="s">
        <v>31</v>
      </c>
      <c r="H619" s="1"/>
      <c r="I619" s="1">
        <v>2020</v>
      </c>
      <c r="J619" s="1">
        <v>2021</v>
      </c>
      <c r="K619" s="1">
        <v>2022</v>
      </c>
      <c r="L619" s="1">
        <v>2023</v>
      </c>
      <c r="M619" s="1">
        <v>2024</v>
      </c>
      <c r="N619" s="1">
        <v>2025</v>
      </c>
    </row>
    <row r="620" spans="1:14" x14ac:dyDescent="0.35">
      <c r="A620" s="1" t="str">
        <f>IF($B$617="Y",'[8]Population Definitions'!$A$6,"...")</f>
        <v>msep_hm</v>
      </c>
      <c r="B620" s="4" t="str">
        <f>IF($B$617="Y","---&gt;","...")</f>
        <v>---&gt;</v>
      </c>
      <c r="C620" s="1" t="str">
        <f>IF($B$617="Y",'[8]Population Definitions'!$A$12,"...")</f>
        <v>pt_hm</v>
      </c>
      <c r="D620" t="s">
        <v>32</v>
      </c>
      <c r="E620" s="3" t="s">
        <v>120</v>
      </c>
      <c r="F620" s="3"/>
      <c r="G620" s="3">
        <v>1</v>
      </c>
      <c r="H620" s="4" t="str">
        <f>IF($B$617="Y","OR","...")</f>
        <v>OR</v>
      </c>
      <c r="I620" s="3"/>
      <c r="J620" s="3"/>
      <c r="K620" s="3"/>
      <c r="L620" s="3"/>
      <c r="M620" s="3"/>
      <c r="N620" s="3"/>
    </row>
    <row r="622" spans="1:14" x14ac:dyDescent="0.35">
      <c r="A622" s="1" t="s">
        <v>0</v>
      </c>
      <c r="B622" s="1" t="s">
        <v>1</v>
      </c>
      <c r="C622" s="1" t="s">
        <v>146</v>
      </c>
      <c r="D622" s="1" t="s">
        <v>147</v>
      </c>
    </row>
    <row r="623" spans="1:14" x14ac:dyDescent="0.35">
      <c r="A623" t="s">
        <v>183</v>
      </c>
      <c r="B623" t="s">
        <v>183</v>
      </c>
      <c r="C623" t="s">
        <v>7</v>
      </c>
      <c r="D623" t="s">
        <v>19</v>
      </c>
    </row>
    <row r="625" spans="1:14" x14ac:dyDescent="0.35">
      <c r="B625" s="1" t="str">
        <f>'[8]Population Definitions'!$A$12</f>
        <v>pt_hm</v>
      </c>
    </row>
    <row r="626" spans="1:14" x14ac:dyDescent="0.35">
      <c r="A626" s="1" t="str">
        <f>'[8]Population Definitions'!$A$4</f>
        <v>an_hm</v>
      </c>
      <c r="B626" s="5" t="s">
        <v>148</v>
      </c>
    </row>
    <row r="628" spans="1:14" x14ac:dyDescent="0.35">
      <c r="A628" s="1" t="s">
        <v>149</v>
      </c>
      <c r="B628" s="1"/>
      <c r="C628" s="1" t="s">
        <v>150</v>
      </c>
      <c r="D628" s="1" t="s">
        <v>28</v>
      </c>
      <c r="E628" s="1" t="s">
        <v>29</v>
      </c>
      <c r="F628" s="1" t="s">
        <v>30</v>
      </c>
      <c r="G628" s="1" t="s">
        <v>31</v>
      </c>
      <c r="H628" s="1"/>
      <c r="I628" s="1">
        <v>2020</v>
      </c>
      <c r="J628" s="1">
        <v>2021</v>
      </c>
      <c r="K628" s="1">
        <v>2022</v>
      </c>
      <c r="L628" s="1">
        <v>2023</v>
      </c>
      <c r="M628" s="1">
        <v>2024</v>
      </c>
      <c r="N628" s="1">
        <v>2025</v>
      </c>
    </row>
    <row r="629" spans="1:14" x14ac:dyDescent="0.35">
      <c r="A629" s="1" t="str">
        <f>IF($B$626="Y",'[8]Population Definitions'!$A$4,"...")</f>
        <v>an_hm</v>
      </c>
      <c r="B629" s="4" t="str">
        <f>IF($B$626="Y","---&gt;","...")</f>
        <v>---&gt;</v>
      </c>
      <c r="C629" s="1" t="str">
        <f>IF($B$626="Y",'[8]Population Definitions'!$A$12,"...")</f>
        <v>pt_hm</v>
      </c>
      <c r="D629" t="s">
        <v>32</v>
      </c>
      <c r="E629" s="3" t="s">
        <v>120</v>
      </c>
      <c r="F629" s="3"/>
      <c r="G629" s="3">
        <v>1</v>
      </c>
      <c r="H629" s="4" t="str">
        <f>IF($B$626="Y","OR","...")</f>
        <v>OR</v>
      </c>
      <c r="I629" s="3"/>
      <c r="J629" s="3"/>
      <c r="K629" s="3"/>
      <c r="L629" s="3"/>
      <c r="M629" s="3"/>
      <c r="N629" s="3"/>
    </row>
    <row r="631" spans="1:14" x14ac:dyDescent="0.35">
      <c r="A631" s="1" t="s">
        <v>0</v>
      </c>
      <c r="B631" s="1" t="s">
        <v>1</v>
      </c>
      <c r="C631" s="1" t="s">
        <v>146</v>
      </c>
      <c r="D631" s="1" t="s">
        <v>147</v>
      </c>
    </row>
    <row r="632" spans="1:14" x14ac:dyDescent="0.35">
      <c r="A632" t="s">
        <v>352</v>
      </c>
      <c r="B632" t="s">
        <v>352</v>
      </c>
      <c r="C632" t="s">
        <v>337</v>
      </c>
      <c r="D632" t="s">
        <v>19</v>
      </c>
    </row>
    <row r="634" spans="1:14" x14ac:dyDescent="0.35">
      <c r="B634" s="1" t="str">
        <f>'[8]Population Definitions'!$A$12</f>
        <v>pt_hm</v>
      </c>
    </row>
    <row r="635" spans="1:14" x14ac:dyDescent="0.35">
      <c r="A635" s="1" t="str">
        <f>'[8]Population Definitions'!$A$8</f>
        <v>mnut_hm</v>
      </c>
      <c r="B635" s="5" t="s">
        <v>148</v>
      </c>
    </row>
    <row r="637" spans="1:14" x14ac:dyDescent="0.35">
      <c r="A637" s="1" t="s">
        <v>149</v>
      </c>
      <c r="B637" s="1"/>
      <c r="C637" s="1" t="s">
        <v>150</v>
      </c>
      <c r="D637" s="1" t="s">
        <v>28</v>
      </c>
      <c r="E637" s="1" t="s">
        <v>29</v>
      </c>
      <c r="F637" s="1" t="s">
        <v>30</v>
      </c>
      <c r="G637" s="1" t="s">
        <v>31</v>
      </c>
      <c r="H637" s="1"/>
      <c r="I637" s="1">
        <v>2020</v>
      </c>
      <c r="J637" s="1">
        <v>2021</v>
      </c>
      <c r="K637" s="1">
        <v>2022</v>
      </c>
      <c r="L637" s="1">
        <v>2023</v>
      </c>
      <c r="M637" s="1">
        <v>2024</v>
      </c>
      <c r="N637" s="1">
        <v>2025</v>
      </c>
    </row>
    <row r="638" spans="1:14" x14ac:dyDescent="0.35">
      <c r="A638" s="1" t="str">
        <f>IF($B$635="Y",'[8]Population Definitions'!$A$8,"...")</f>
        <v>mnut_hm</v>
      </c>
      <c r="B638" s="4" t="str">
        <f>IF($B$635="Y","---&gt;","...")</f>
        <v>---&gt;</v>
      </c>
      <c r="C638" s="1" t="str">
        <f>IF($B$635="Y",'[8]Population Definitions'!$A$12,"...")</f>
        <v>pt_hm</v>
      </c>
      <c r="D638" t="s">
        <v>32</v>
      </c>
      <c r="E638" s="3" t="s">
        <v>120</v>
      </c>
      <c r="F638" s="3"/>
      <c r="G638" s="3">
        <v>1</v>
      </c>
      <c r="H638" s="4" t="str">
        <f>IF($B$635="Y","OR","...")</f>
        <v>OR</v>
      </c>
      <c r="I638" s="3"/>
      <c r="J638" s="3"/>
      <c r="K638" s="3"/>
      <c r="L638" s="3"/>
      <c r="M638" s="3"/>
      <c r="N638" s="3"/>
    </row>
    <row r="640" spans="1:14" x14ac:dyDescent="0.35">
      <c r="A640" s="1" t="s">
        <v>0</v>
      </c>
      <c r="B640" s="1" t="s">
        <v>1</v>
      </c>
      <c r="C640" s="1" t="s">
        <v>146</v>
      </c>
      <c r="D640" s="1" t="s">
        <v>147</v>
      </c>
    </row>
    <row r="641" spans="1:14" x14ac:dyDescent="0.35">
      <c r="A641" t="s">
        <v>353</v>
      </c>
      <c r="B641" t="s">
        <v>353</v>
      </c>
      <c r="C641" t="s">
        <v>335</v>
      </c>
      <c r="D641" t="s">
        <v>19</v>
      </c>
    </row>
    <row r="643" spans="1:14" x14ac:dyDescent="0.35">
      <c r="B643" s="1" t="str">
        <f>'[8]Population Definitions'!$A$12</f>
        <v>pt_hm</v>
      </c>
    </row>
    <row r="644" spans="1:14" x14ac:dyDescent="0.35">
      <c r="A644" s="1" t="str">
        <f>'[8]Population Definitions'!$A$7</f>
        <v>preecl_hm</v>
      </c>
      <c r="B644" s="5" t="s">
        <v>148</v>
      </c>
    </row>
    <row r="646" spans="1:14" x14ac:dyDescent="0.35">
      <c r="A646" s="1" t="s">
        <v>149</v>
      </c>
      <c r="B646" s="1"/>
      <c r="C646" s="1" t="s">
        <v>150</v>
      </c>
      <c r="D646" s="1" t="s">
        <v>28</v>
      </c>
      <c r="E646" s="1" t="s">
        <v>29</v>
      </c>
      <c r="F646" s="1" t="s">
        <v>30</v>
      </c>
      <c r="G646" s="1" t="s">
        <v>31</v>
      </c>
      <c r="H646" s="1"/>
      <c r="I646" s="1">
        <v>2020</v>
      </c>
      <c r="J646" s="1">
        <v>2021</v>
      </c>
      <c r="K646" s="1">
        <v>2022</v>
      </c>
      <c r="L646" s="1">
        <v>2023</v>
      </c>
      <c r="M646" s="1">
        <v>2024</v>
      </c>
      <c r="N646" s="1">
        <v>2025</v>
      </c>
    </row>
    <row r="647" spans="1:14" x14ac:dyDescent="0.35">
      <c r="A647" s="1" t="str">
        <f>IF($B$644="Y",'[8]Population Definitions'!$A$7,"...")</f>
        <v>preecl_hm</v>
      </c>
      <c r="B647" s="4" t="str">
        <f>IF($B$644="Y","---&gt;","...")</f>
        <v>---&gt;</v>
      </c>
      <c r="C647" s="1" t="str">
        <f>IF($B$644="Y",'[8]Population Definitions'!$A$12,"...")</f>
        <v>pt_hm</v>
      </c>
      <c r="D647" t="s">
        <v>32</v>
      </c>
      <c r="E647" s="3" t="s">
        <v>120</v>
      </c>
      <c r="F647" s="3"/>
      <c r="G647" s="3">
        <v>1</v>
      </c>
      <c r="H647" s="4" t="str">
        <f>IF($B$644="Y","OR","...")</f>
        <v>OR</v>
      </c>
      <c r="I647" s="3"/>
      <c r="J647" s="3"/>
      <c r="K647" s="3"/>
      <c r="L647" s="3"/>
      <c r="M647" s="3"/>
      <c r="N647" s="3"/>
    </row>
    <row r="649" spans="1:14" x14ac:dyDescent="0.35">
      <c r="A649" s="1" t="s">
        <v>0</v>
      </c>
      <c r="B649" s="1" t="s">
        <v>1</v>
      </c>
      <c r="C649" s="1" t="s">
        <v>146</v>
      </c>
      <c r="D649" s="1" t="s">
        <v>147</v>
      </c>
    </row>
    <row r="650" spans="1:14" x14ac:dyDescent="0.35">
      <c r="A650" t="s">
        <v>175</v>
      </c>
      <c r="B650" t="s">
        <v>175</v>
      </c>
      <c r="C650" t="s">
        <v>19</v>
      </c>
      <c r="D650" t="s">
        <v>19</v>
      </c>
    </row>
    <row r="652" spans="1:14" x14ac:dyDescent="0.35">
      <c r="B652" s="1" t="str">
        <f>'[8]Population Definitions'!$A$12</f>
        <v>pt_hm</v>
      </c>
    </row>
    <row r="653" spans="1:14" x14ac:dyDescent="0.35">
      <c r="A653" s="1" t="str">
        <f>'[8]Population Definitions'!$A$12</f>
        <v>pt_hm</v>
      </c>
      <c r="B653" s="5" t="s">
        <v>148</v>
      </c>
    </row>
    <row r="655" spans="1:14" x14ac:dyDescent="0.35">
      <c r="A655" s="1" t="s">
        <v>149</v>
      </c>
      <c r="B655" s="1"/>
      <c r="C655" s="1" t="s">
        <v>150</v>
      </c>
      <c r="D655" s="1" t="s">
        <v>28</v>
      </c>
      <c r="E655" s="1" t="s">
        <v>29</v>
      </c>
      <c r="F655" s="1" t="s">
        <v>30</v>
      </c>
      <c r="G655" s="1" t="s">
        <v>31</v>
      </c>
      <c r="H655" s="1"/>
      <c r="I655" s="1">
        <v>2020</v>
      </c>
      <c r="J655" s="1">
        <v>2021</v>
      </c>
      <c r="K655" s="1">
        <v>2022</v>
      </c>
      <c r="L655" s="1">
        <v>2023</v>
      </c>
      <c r="M655" s="1">
        <v>2024</v>
      </c>
      <c r="N655" s="1">
        <v>2025</v>
      </c>
    </row>
    <row r="656" spans="1:14" x14ac:dyDescent="0.35">
      <c r="A656" s="1" t="str">
        <f>IF($B$653="Y",'[8]Population Definitions'!$A$12,"...")</f>
        <v>pt_hm</v>
      </c>
      <c r="B656" s="4" t="str">
        <f>IF($B$653="Y","---&gt;","...")</f>
        <v>---&gt;</v>
      </c>
      <c r="C656" s="1" t="str">
        <f>IF($B$653="Y",'[8]Population Definitions'!$A$12,"...")</f>
        <v>pt_hm</v>
      </c>
      <c r="D656" t="s">
        <v>32</v>
      </c>
      <c r="E656" s="3" t="s">
        <v>120</v>
      </c>
      <c r="F656" s="3"/>
      <c r="G656" s="3">
        <v>1</v>
      </c>
      <c r="H656" s="4" t="str">
        <f>IF($B$653="Y","OR","...")</f>
        <v>OR</v>
      </c>
      <c r="I656" s="3"/>
      <c r="J656" s="3"/>
      <c r="K656" s="3"/>
      <c r="L656" s="3"/>
      <c r="M656" s="3"/>
      <c r="N656" s="3"/>
    </row>
    <row r="658" spans="1:14" x14ac:dyDescent="0.35">
      <c r="A658" s="1" t="s">
        <v>0</v>
      </c>
      <c r="B658" s="1" t="s">
        <v>1</v>
      </c>
      <c r="C658" s="1" t="s">
        <v>146</v>
      </c>
      <c r="D658" s="1" t="s">
        <v>147</v>
      </c>
    </row>
    <row r="659" spans="1:14" x14ac:dyDescent="0.35">
      <c r="A659" t="s">
        <v>178</v>
      </c>
      <c r="B659" t="s">
        <v>178</v>
      </c>
      <c r="C659" t="s">
        <v>19</v>
      </c>
      <c r="D659" t="s">
        <v>21</v>
      </c>
    </row>
    <row r="661" spans="1:14" x14ac:dyDescent="0.35">
      <c r="B661" s="1" t="str">
        <f>'[8]Population Definitions'!$A$13</f>
        <v>rds_hm</v>
      </c>
    </row>
    <row r="662" spans="1:14" x14ac:dyDescent="0.35">
      <c r="A662" s="1" t="str">
        <f>'[8]Population Definitions'!$A$12</f>
        <v>pt_hm</v>
      </c>
      <c r="B662" s="5" t="s">
        <v>148</v>
      </c>
    </row>
    <row r="664" spans="1:14" x14ac:dyDescent="0.35">
      <c r="A664" s="1" t="s">
        <v>149</v>
      </c>
      <c r="B664" s="1"/>
      <c r="C664" s="1" t="s">
        <v>150</v>
      </c>
      <c r="D664" s="1" t="s">
        <v>28</v>
      </c>
      <c r="E664" s="1" t="s">
        <v>29</v>
      </c>
      <c r="F664" s="1" t="s">
        <v>30</v>
      </c>
      <c r="G664" s="1" t="s">
        <v>31</v>
      </c>
      <c r="H664" s="1"/>
      <c r="I664" s="1">
        <v>2020</v>
      </c>
      <c r="J664" s="1">
        <v>2021</v>
      </c>
      <c r="K664" s="1">
        <v>2022</v>
      </c>
      <c r="L664" s="1">
        <v>2023</v>
      </c>
      <c r="M664" s="1">
        <v>2024</v>
      </c>
      <c r="N664" s="1">
        <v>2025</v>
      </c>
    </row>
    <row r="665" spans="1:14" x14ac:dyDescent="0.35">
      <c r="A665" s="1" t="str">
        <f>IF($B$662="Y",'[8]Population Definitions'!$A$12,"...")</f>
        <v>pt_hm</v>
      </c>
      <c r="B665" s="4" t="str">
        <f>IF($B$662="Y","---&gt;","...")</f>
        <v>---&gt;</v>
      </c>
      <c r="C665" s="1" t="str">
        <f>IF($B$662="Y",'[8]Population Definitions'!$A$13,"...")</f>
        <v>rds_hm</v>
      </c>
      <c r="D665" t="s">
        <v>32</v>
      </c>
      <c r="E665" s="3" t="s">
        <v>120</v>
      </c>
      <c r="F665" s="3"/>
      <c r="G665" s="3">
        <v>1</v>
      </c>
      <c r="H665" s="4" t="str">
        <f>IF($B$662="Y","OR","...")</f>
        <v>OR</v>
      </c>
      <c r="I665" s="3"/>
      <c r="J665" s="3"/>
      <c r="K665" s="3"/>
      <c r="L665" s="3"/>
      <c r="M665" s="3"/>
      <c r="N665" s="3"/>
    </row>
    <row r="667" spans="1:14" x14ac:dyDescent="0.35">
      <c r="A667" s="1" t="s">
        <v>0</v>
      </c>
      <c r="B667" s="1" t="s">
        <v>1</v>
      </c>
      <c r="C667" s="1" t="s">
        <v>146</v>
      </c>
      <c r="D667" s="1" t="s">
        <v>147</v>
      </c>
    </row>
    <row r="668" spans="1:14" x14ac:dyDescent="0.35">
      <c r="A668" t="s">
        <v>241</v>
      </c>
      <c r="B668" t="s">
        <v>241</v>
      </c>
      <c r="C668" t="s">
        <v>3</v>
      </c>
      <c r="D668" t="s">
        <v>21</v>
      </c>
    </row>
    <row r="670" spans="1:14" x14ac:dyDescent="0.35">
      <c r="B670" s="1" t="str">
        <f>'[8]Population Definitions'!$A$13</f>
        <v>rds_hm</v>
      </c>
    </row>
    <row r="671" spans="1:14" x14ac:dyDescent="0.35">
      <c r="A671" s="1" t="str">
        <f>'[8]Population Definitions'!$A$2</f>
        <v>anc_hm</v>
      </c>
      <c r="B671" s="5" t="s">
        <v>148</v>
      </c>
    </row>
    <row r="673" spans="1:14" x14ac:dyDescent="0.35">
      <c r="A673" s="1" t="s">
        <v>149</v>
      </c>
      <c r="B673" s="1"/>
      <c r="C673" s="1" t="s">
        <v>150</v>
      </c>
      <c r="D673" s="1" t="s">
        <v>28</v>
      </c>
      <c r="E673" s="1" t="s">
        <v>29</v>
      </c>
      <c r="F673" s="1" t="s">
        <v>30</v>
      </c>
      <c r="G673" s="1" t="s">
        <v>31</v>
      </c>
      <c r="H673" s="1"/>
      <c r="I673" s="1">
        <v>2020</v>
      </c>
      <c r="J673" s="1">
        <v>2021</v>
      </c>
      <c r="K673" s="1">
        <v>2022</v>
      </c>
      <c r="L673" s="1">
        <v>2023</v>
      </c>
      <c r="M673" s="1">
        <v>2024</v>
      </c>
      <c r="N673" s="1">
        <v>2025</v>
      </c>
    </row>
    <row r="674" spans="1:14" x14ac:dyDescent="0.35">
      <c r="A674" s="1" t="str">
        <f>IF($B$671="Y",'[8]Population Definitions'!$A$2,"...")</f>
        <v>anc_hm</v>
      </c>
      <c r="B674" s="4" t="str">
        <f>IF($B$671="Y","---&gt;","...")</f>
        <v>---&gt;</v>
      </c>
      <c r="C674" s="1" t="str">
        <f>IF($B$671="Y",'[8]Population Definitions'!$A$13,"...")</f>
        <v>rds_hm</v>
      </c>
      <c r="D674" t="s">
        <v>32</v>
      </c>
      <c r="E674" s="3" t="s">
        <v>120</v>
      </c>
      <c r="F674" s="3"/>
      <c r="G674" s="3">
        <v>1</v>
      </c>
      <c r="H674" s="4" t="str">
        <f>IF($B$671="Y","OR","...")</f>
        <v>OR</v>
      </c>
      <c r="I674" s="3"/>
      <c r="J674" s="3"/>
      <c r="K674" s="3"/>
      <c r="L674" s="3"/>
      <c r="M674" s="3"/>
      <c r="N674" s="3"/>
    </row>
    <row r="676" spans="1:14" x14ac:dyDescent="0.35">
      <c r="A676" s="1" t="s">
        <v>0</v>
      </c>
      <c r="B676" s="1" t="s">
        <v>1</v>
      </c>
      <c r="C676" s="1" t="s">
        <v>146</v>
      </c>
      <c r="D676" s="1" t="s">
        <v>147</v>
      </c>
    </row>
    <row r="677" spans="1:14" x14ac:dyDescent="0.35">
      <c r="A677" t="s">
        <v>177</v>
      </c>
      <c r="B677" t="s">
        <v>177</v>
      </c>
      <c r="C677" t="s">
        <v>5</v>
      </c>
      <c r="D677" t="s">
        <v>21</v>
      </c>
    </row>
    <row r="679" spans="1:14" x14ac:dyDescent="0.35">
      <c r="B679" s="1" t="str">
        <f>'[8]Population Definitions'!$A$13</f>
        <v>rds_hm</v>
      </c>
    </row>
    <row r="680" spans="1:14" x14ac:dyDescent="0.35">
      <c r="A680" s="1" t="str">
        <f>'[8]Population Definitions'!$A$3</f>
        <v>asx_hm</v>
      </c>
      <c r="B680" s="5" t="s">
        <v>148</v>
      </c>
    </row>
    <row r="682" spans="1:14" x14ac:dyDescent="0.35">
      <c r="A682" s="1" t="s">
        <v>149</v>
      </c>
      <c r="B682" s="1"/>
      <c r="C682" s="1" t="s">
        <v>150</v>
      </c>
      <c r="D682" s="1" t="s">
        <v>28</v>
      </c>
      <c r="E682" s="1" t="s">
        <v>29</v>
      </c>
      <c r="F682" s="1" t="s">
        <v>30</v>
      </c>
      <c r="G682" s="1" t="s">
        <v>31</v>
      </c>
      <c r="H682" s="1"/>
      <c r="I682" s="1">
        <v>2020</v>
      </c>
      <c r="J682" s="1">
        <v>2021</v>
      </c>
      <c r="K682" s="1">
        <v>2022</v>
      </c>
      <c r="L682" s="1">
        <v>2023</v>
      </c>
      <c r="M682" s="1">
        <v>2024</v>
      </c>
      <c r="N682" s="1">
        <v>2025</v>
      </c>
    </row>
    <row r="683" spans="1:14" x14ac:dyDescent="0.35">
      <c r="A683" s="1" t="str">
        <f>IF($B$680="Y",'[8]Population Definitions'!$A$3,"...")</f>
        <v>asx_hm</v>
      </c>
      <c r="B683" s="4" t="str">
        <f>IF($B$680="Y","---&gt;","...")</f>
        <v>---&gt;</v>
      </c>
      <c r="C683" s="1" t="str">
        <f>IF($B$680="Y",'[8]Population Definitions'!$A$13,"...")</f>
        <v>rds_hm</v>
      </c>
      <c r="D683" t="s">
        <v>32</v>
      </c>
      <c r="E683" s="3" t="s">
        <v>120</v>
      </c>
      <c r="F683" s="3"/>
      <c r="G683" s="3">
        <v>1</v>
      </c>
      <c r="H683" s="4" t="str">
        <f>IF($B$680="Y","OR","...")</f>
        <v>OR</v>
      </c>
      <c r="I683" s="3"/>
      <c r="J683" s="3"/>
      <c r="K683" s="3"/>
      <c r="L683" s="3"/>
      <c r="M683" s="3"/>
      <c r="N683" s="3"/>
    </row>
    <row r="685" spans="1:14" x14ac:dyDescent="0.35">
      <c r="A685" s="1" t="s">
        <v>0</v>
      </c>
      <c r="B685" s="1" t="s">
        <v>1</v>
      </c>
      <c r="C685" s="1" t="s">
        <v>146</v>
      </c>
      <c r="D685" s="1" t="s">
        <v>147</v>
      </c>
    </row>
    <row r="686" spans="1:14" x14ac:dyDescent="0.35">
      <c r="A686" t="s">
        <v>259</v>
      </c>
      <c r="B686" t="s">
        <v>259</v>
      </c>
      <c r="C686" t="s">
        <v>17</v>
      </c>
      <c r="D686" t="s">
        <v>21</v>
      </c>
    </row>
    <row r="688" spans="1:14" x14ac:dyDescent="0.35">
      <c r="B688" s="1" t="str">
        <f>'[8]Population Definitions'!$A$13</f>
        <v>rds_hm</v>
      </c>
    </row>
    <row r="689" spans="1:14" x14ac:dyDescent="0.35">
      <c r="A689" s="1" t="str">
        <f>'[8]Population Definitions'!$A$11</f>
        <v>nsep_hm</v>
      </c>
      <c r="B689" s="5" t="s">
        <v>148</v>
      </c>
    </row>
    <row r="691" spans="1:14" x14ac:dyDescent="0.35">
      <c r="A691" s="1" t="s">
        <v>149</v>
      </c>
      <c r="B691" s="1"/>
      <c r="C691" s="1" t="s">
        <v>150</v>
      </c>
      <c r="D691" s="1" t="s">
        <v>28</v>
      </c>
      <c r="E691" s="1" t="s">
        <v>29</v>
      </c>
      <c r="F691" s="1" t="s">
        <v>30</v>
      </c>
      <c r="G691" s="1" t="s">
        <v>31</v>
      </c>
      <c r="H691" s="1"/>
      <c r="I691" s="1">
        <v>2020</v>
      </c>
      <c r="J691" s="1">
        <v>2021</v>
      </c>
      <c r="K691" s="1">
        <v>2022</v>
      </c>
      <c r="L691" s="1">
        <v>2023</v>
      </c>
      <c r="M691" s="1">
        <v>2024</v>
      </c>
      <c r="N691" s="1">
        <v>2025</v>
      </c>
    </row>
    <row r="692" spans="1:14" x14ac:dyDescent="0.35">
      <c r="A692" s="1" t="str">
        <f>IF($B$689="Y",'[8]Population Definitions'!$A$11,"...")</f>
        <v>nsep_hm</v>
      </c>
      <c r="B692" s="4" t="str">
        <f>IF($B$689="Y","---&gt;","...")</f>
        <v>---&gt;</v>
      </c>
      <c r="C692" s="1" t="str">
        <f>IF($B$689="Y",'[8]Population Definitions'!$A$13,"...")</f>
        <v>rds_hm</v>
      </c>
      <c r="D692" t="s">
        <v>32</v>
      </c>
      <c r="E692" s="3" t="s">
        <v>120</v>
      </c>
      <c r="F692" s="3"/>
      <c r="G692" s="3">
        <v>1</v>
      </c>
      <c r="H692" s="4" t="str">
        <f>IF($B$689="Y","OR","...")</f>
        <v>OR</v>
      </c>
      <c r="I692" s="3"/>
      <c r="J692" s="3"/>
      <c r="K692" s="3"/>
      <c r="L692" s="3"/>
      <c r="M692" s="3"/>
      <c r="N692" s="3"/>
    </row>
    <row r="694" spans="1:14" x14ac:dyDescent="0.35">
      <c r="A694" s="1" t="s">
        <v>0</v>
      </c>
      <c r="B694" s="1" t="s">
        <v>1</v>
      </c>
      <c r="C694" s="1" t="s">
        <v>146</v>
      </c>
      <c r="D694" s="1" t="s">
        <v>147</v>
      </c>
    </row>
    <row r="695" spans="1:14" x14ac:dyDescent="0.35">
      <c r="A695" t="s">
        <v>260</v>
      </c>
      <c r="B695" t="s">
        <v>260</v>
      </c>
      <c r="C695" t="s">
        <v>15</v>
      </c>
      <c r="D695" t="s">
        <v>21</v>
      </c>
    </row>
    <row r="697" spans="1:14" x14ac:dyDescent="0.35">
      <c r="B697" s="1" t="str">
        <f>'[8]Population Definitions'!$A$13</f>
        <v>rds_hm</v>
      </c>
    </row>
    <row r="698" spans="1:14" x14ac:dyDescent="0.35">
      <c r="A698" s="1" t="str">
        <f>'[8]Population Definitions'!$A$10</f>
        <v>oth_hm</v>
      </c>
      <c r="B698" s="5" t="s">
        <v>148</v>
      </c>
    </row>
    <row r="700" spans="1:14" x14ac:dyDescent="0.35">
      <c r="A700" s="1" t="s">
        <v>149</v>
      </c>
      <c r="B700" s="1"/>
      <c r="C700" s="1" t="s">
        <v>150</v>
      </c>
      <c r="D700" s="1" t="s">
        <v>28</v>
      </c>
      <c r="E700" s="1" t="s">
        <v>29</v>
      </c>
      <c r="F700" s="1" t="s">
        <v>30</v>
      </c>
      <c r="G700" s="1" t="s">
        <v>31</v>
      </c>
      <c r="H700" s="1"/>
      <c r="I700" s="1">
        <v>2020</v>
      </c>
      <c r="J700" s="1">
        <v>2021</v>
      </c>
      <c r="K700" s="1">
        <v>2022</v>
      </c>
      <c r="L700" s="1">
        <v>2023</v>
      </c>
      <c r="M700" s="1">
        <v>2024</v>
      </c>
      <c r="N700" s="1">
        <v>2025</v>
      </c>
    </row>
    <row r="701" spans="1:14" x14ac:dyDescent="0.35">
      <c r="A701" s="1" t="str">
        <f>IF($B$698="Y",'[8]Population Definitions'!$A$10,"...")</f>
        <v>oth_hm</v>
      </c>
      <c r="B701" s="4" t="str">
        <f>IF($B$698="Y","---&gt;","...")</f>
        <v>---&gt;</v>
      </c>
      <c r="C701" s="1" t="str">
        <f>IF($B$698="Y",'[8]Population Definitions'!$A$13,"...")</f>
        <v>rds_hm</v>
      </c>
      <c r="D701" t="s">
        <v>32</v>
      </c>
      <c r="E701" s="3" t="s">
        <v>120</v>
      </c>
      <c r="F701" s="3"/>
      <c r="G701" s="3">
        <v>1</v>
      </c>
      <c r="H701" s="4" t="str">
        <f>IF($B$698="Y","OR","...")</f>
        <v>OR</v>
      </c>
      <c r="I701" s="3"/>
      <c r="J701" s="3"/>
      <c r="K701" s="3"/>
      <c r="L701" s="3"/>
      <c r="M701" s="3"/>
      <c r="N701" s="3"/>
    </row>
    <row r="703" spans="1:14" x14ac:dyDescent="0.35">
      <c r="A703" s="1" t="s">
        <v>0</v>
      </c>
      <c r="B703" s="1" t="s">
        <v>1</v>
      </c>
      <c r="C703" s="1" t="s">
        <v>146</v>
      </c>
      <c r="D703" s="1" t="s">
        <v>147</v>
      </c>
    </row>
    <row r="704" spans="1:14" x14ac:dyDescent="0.35">
      <c r="A704" t="s">
        <v>261</v>
      </c>
      <c r="B704" t="s">
        <v>261</v>
      </c>
      <c r="C704" t="s">
        <v>21</v>
      </c>
      <c r="D704" t="s">
        <v>21</v>
      </c>
    </row>
    <row r="706" spans="1:14" x14ac:dyDescent="0.35">
      <c r="B706" s="1" t="str">
        <f>'[8]Population Definitions'!$A$13</f>
        <v>rds_hm</v>
      </c>
    </row>
    <row r="707" spans="1:14" x14ac:dyDescent="0.35">
      <c r="A707" s="1" t="str">
        <f>'[8]Population Definitions'!$A$13</f>
        <v>rds_hm</v>
      </c>
      <c r="B707" s="5" t="s">
        <v>148</v>
      </c>
    </row>
    <row r="709" spans="1:14" x14ac:dyDescent="0.35">
      <c r="A709" s="1" t="s">
        <v>149</v>
      </c>
      <c r="B709" s="1"/>
      <c r="C709" s="1" t="s">
        <v>150</v>
      </c>
      <c r="D709" s="1" t="s">
        <v>28</v>
      </c>
      <c r="E709" s="1" t="s">
        <v>29</v>
      </c>
      <c r="F709" s="1" t="s">
        <v>30</v>
      </c>
      <c r="G709" s="1" t="s">
        <v>31</v>
      </c>
      <c r="H709" s="1"/>
      <c r="I709" s="1">
        <v>2020</v>
      </c>
      <c r="J709" s="1">
        <v>2021</v>
      </c>
      <c r="K709" s="1">
        <v>2022</v>
      </c>
      <c r="L709" s="1">
        <v>2023</v>
      </c>
      <c r="M709" s="1">
        <v>2024</v>
      </c>
      <c r="N709" s="1">
        <v>2025</v>
      </c>
    </row>
    <row r="710" spans="1:14" x14ac:dyDescent="0.35">
      <c r="A710" s="1" t="str">
        <f>IF($B$707="Y",'[8]Population Definitions'!$A$13,"...")</f>
        <v>rds_hm</v>
      </c>
      <c r="B710" s="4" t="str">
        <f>IF($B$707="Y","---&gt;","...")</f>
        <v>---&gt;</v>
      </c>
      <c r="C710" s="1" t="str">
        <f>IF($B$707="Y",'[8]Population Definitions'!$A$13,"...")</f>
        <v>rds_hm</v>
      </c>
      <c r="D710" t="s">
        <v>32</v>
      </c>
      <c r="E710" s="3" t="s">
        <v>120</v>
      </c>
      <c r="F710" s="3"/>
      <c r="G710" s="3">
        <v>1</v>
      </c>
      <c r="H710" s="4" t="str">
        <f>IF($B$707="Y","OR","...")</f>
        <v>OR</v>
      </c>
      <c r="I710" s="3"/>
      <c r="J710" s="3"/>
      <c r="K710" s="3"/>
      <c r="L710" s="3"/>
      <c r="M710" s="3"/>
      <c r="N710" s="3"/>
    </row>
    <row r="712" spans="1:14" x14ac:dyDescent="0.35">
      <c r="A712" s="1" t="s">
        <v>0</v>
      </c>
      <c r="B712" s="1" t="s">
        <v>1</v>
      </c>
      <c r="C712" s="1" t="s">
        <v>146</v>
      </c>
      <c r="D712" s="1" t="s">
        <v>147</v>
      </c>
    </row>
    <row r="713" spans="1:14" x14ac:dyDescent="0.35">
      <c r="A713" t="s">
        <v>262</v>
      </c>
      <c r="B713" t="s">
        <v>262</v>
      </c>
      <c r="C713" t="s">
        <v>25</v>
      </c>
      <c r="D713" t="s">
        <v>21</v>
      </c>
    </row>
    <row r="715" spans="1:14" x14ac:dyDescent="0.35">
      <c r="B715" s="1" t="str">
        <f>'[8]Population Definitions'!$A$13</f>
        <v>rds_hm</v>
      </c>
    </row>
    <row r="716" spans="1:14" x14ac:dyDescent="0.35">
      <c r="A716" s="1" t="str">
        <f>'[8]Population Definitions'!$A$15</f>
        <v>stunting_hm</v>
      </c>
      <c r="B716" s="5" t="s">
        <v>148</v>
      </c>
    </row>
    <row r="718" spans="1:14" x14ac:dyDescent="0.35">
      <c r="A718" s="1" t="s">
        <v>149</v>
      </c>
      <c r="B718" s="1"/>
      <c r="C718" s="1" t="s">
        <v>150</v>
      </c>
      <c r="D718" s="1" t="s">
        <v>28</v>
      </c>
      <c r="E718" s="1" t="s">
        <v>29</v>
      </c>
      <c r="F718" s="1" t="s">
        <v>30</v>
      </c>
      <c r="G718" s="1" t="s">
        <v>31</v>
      </c>
      <c r="H718" s="1"/>
      <c r="I718" s="1">
        <v>2020</v>
      </c>
      <c r="J718" s="1">
        <v>2021</v>
      </c>
      <c r="K718" s="1">
        <v>2022</v>
      </c>
      <c r="L718" s="1">
        <v>2023</v>
      </c>
      <c r="M718" s="1">
        <v>2024</v>
      </c>
      <c r="N718" s="1">
        <v>2025</v>
      </c>
    </row>
    <row r="719" spans="1:14" x14ac:dyDescent="0.35">
      <c r="A719" s="1" t="str">
        <f>IF($B$716="Y",'[8]Population Definitions'!$A$15,"...")</f>
        <v>stunting_hm</v>
      </c>
      <c r="B719" s="4" t="str">
        <f>IF($B$716="Y","---&gt;","...")</f>
        <v>---&gt;</v>
      </c>
      <c r="C719" s="1" t="str">
        <f>IF($B$716="Y",'[8]Population Definitions'!$A$13,"...")</f>
        <v>rds_hm</v>
      </c>
      <c r="D719" t="s">
        <v>32</v>
      </c>
      <c r="E719" s="3" t="s">
        <v>120</v>
      </c>
      <c r="F719" s="3"/>
      <c r="G719" s="3">
        <v>1</v>
      </c>
      <c r="H719" s="4" t="str">
        <f>IF($B$716="Y","OR","...")</f>
        <v>OR</v>
      </c>
      <c r="I719" s="3"/>
      <c r="J719" s="3"/>
      <c r="K719" s="3"/>
      <c r="L719" s="3"/>
      <c r="M719" s="3"/>
      <c r="N719" s="3"/>
    </row>
    <row r="721" spans="1:14" x14ac:dyDescent="0.35">
      <c r="A721" s="1" t="s">
        <v>0</v>
      </c>
      <c r="B721" s="1" t="s">
        <v>1</v>
      </c>
      <c r="C721" s="1" t="s">
        <v>146</v>
      </c>
      <c r="D721" s="1" t="s">
        <v>147</v>
      </c>
    </row>
    <row r="722" spans="1:14" x14ac:dyDescent="0.35">
      <c r="A722" t="s">
        <v>179</v>
      </c>
      <c r="B722" t="s">
        <v>179</v>
      </c>
      <c r="C722" t="s">
        <v>21</v>
      </c>
      <c r="D722" t="s">
        <v>23</v>
      </c>
    </row>
    <row r="724" spans="1:14" x14ac:dyDescent="0.35">
      <c r="B724" s="1" t="str">
        <f>'[8]Population Definitions'!$A$14</f>
        <v>wasting_hm</v>
      </c>
    </row>
    <row r="725" spans="1:14" x14ac:dyDescent="0.35">
      <c r="A725" s="1" t="str">
        <f>'[8]Population Definitions'!$A$13</f>
        <v>rds_hm</v>
      </c>
      <c r="B725" s="5" t="s">
        <v>148</v>
      </c>
    </row>
    <row r="727" spans="1:14" x14ac:dyDescent="0.35">
      <c r="A727" s="1" t="s">
        <v>149</v>
      </c>
      <c r="B727" s="1"/>
      <c r="C727" s="1" t="s">
        <v>150</v>
      </c>
      <c r="D727" s="1" t="s">
        <v>28</v>
      </c>
      <c r="E727" s="1" t="s">
        <v>29</v>
      </c>
      <c r="F727" s="1" t="s">
        <v>30</v>
      </c>
      <c r="G727" s="1" t="s">
        <v>31</v>
      </c>
      <c r="H727" s="1"/>
      <c r="I727" s="1">
        <v>2020</v>
      </c>
      <c r="J727" s="1">
        <v>2021</v>
      </c>
      <c r="K727" s="1">
        <v>2022</v>
      </c>
      <c r="L727" s="1">
        <v>2023</v>
      </c>
      <c r="M727" s="1">
        <v>2024</v>
      </c>
      <c r="N727" s="1">
        <v>2025</v>
      </c>
    </row>
    <row r="728" spans="1:14" x14ac:dyDescent="0.35">
      <c r="A728" s="1" t="str">
        <f>IF($B$725="Y",'[8]Population Definitions'!$A$13,"...")</f>
        <v>rds_hm</v>
      </c>
      <c r="B728" s="4" t="str">
        <f>IF($B$725="Y","---&gt;","...")</f>
        <v>---&gt;</v>
      </c>
      <c r="C728" s="1" t="str">
        <f>IF($B$725="Y",'[8]Population Definitions'!$A$14,"...")</f>
        <v>wasting_hm</v>
      </c>
      <c r="D728" t="s">
        <v>32</v>
      </c>
      <c r="E728" s="3" t="s">
        <v>120</v>
      </c>
      <c r="F728" s="3"/>
      <c r="G728" s="3">
        <v>1</v>
      </c>
      <c r="H728" s="4" t="str">
        <f>IF($B$725="Y","OR","...")</f>
        <v>OR</v>
      </c>
      <c r="I728" s="3"/>
      <c r="J728" s="3"/>
      <c r="K728" s="3"/>
      <c r="L728" s="3"/>
      <c r="M728" s="3"/>
      <c r="N728" s="3"/>
    </row>
    <row r="730" spans="1:14" x14ac:dyDescent="0.35">
      <c r="A730" s="1" t="s">
        <v>0</v>
      </c>
      <c r="B730" s="1" t="s">
        <v>1</v>
      </c>
      <c r="C730" s="1" t="s">
        <v>146</v>
      </c>
      <c r="D730" s="1" t="s">
        <v>147</v>
      </c>
    </row>
    <row r="731" spans="1:14" x14ac:dyDescent="0.35">
      <c r="A731" t="s">
        <v>242</v>
      </c>
      <c r="B731" t="s">
        <v>242</v>
      </c>
      <c r="C731" t="s">
        <v>3</v>
      </c>
      <c r="D731" t="s">
        <v>23</v>
      </c>
    </row>
    <row r="733" spans="1:14" x14ac:dyDescent="0.35">
      <c r="B733" s="1" t="str">
        <f>'[8]Population Definitions'!$A$14</f>
        <v>wasting_hm</v>
      </c>
    </row>
    <row r="734" spans="1:14" x14ac:dyDescent="0.35">
      <c r="A734" s="1" t="str">
        <f>'[8]Population Definitions'!$A$2</f>
        <v>anc_hm</v>
      </c>
      <c r="B734" s="5" t="s">
        <v>148</v>
      </c>
    </row>
    <row r="736" spans="1:14" x14ac:dyDescent="0.35">
      <c r="A736" s="1" t="s">
        <v>149</v>
      </c>
      <c r="B736" s="1"/>
      <c r="C736" s="1" t="s">
        <v>150</v>
      </c>
      <c r="D736" s="1" t="s">
        <v>28</v>
      </c>
      <c r="E736" s="1" t="s">
        <v>29</v>
      </c>
      <c r="F736" s="1" t="s">
        <v>30</v>
      </c>
      <c r="G736" s="1" t="s">
        <v>31</v>
      </c>
      <c r="H736" s="1"/>
      <c r="I736" s="1">
        <v>2020</v>
      </c>
      <c r="J736" s="1">
        <v>2021</v>
      </c>
      <c r="K736" s="1">
        <v>2022</v>
      </c>
      <c r="L736" s="1">
        <v>2023</v>
      </c>
      <c r="M736" s="1">
        <v>2024</v>
      </c>
      <c r="N736" s="1">
        <v>2025</v>
      </c>
    </row>
    <row r="737" spans="1:14" x14ac:dyDescent="0.35">
      <c r="A737" s="1" t="str">
        <f>IF($B$734="Y",'[8]Population Definitions'!$A$2,"...")</f>
        <v>anc_hm</v>
      </c>
      <c r="B737" s="4" t="str">
        <f>IF($B$734="Y","---&gt;","...")</f>
        <v>---&gt;</v>
      </c>
      <c r="C737" s="1" t="str">
        <f>IF($B$734="Y",'[8]Population Definitions'!$A$14,"...")</f>
        <v>wasting_hm</v>
      </c>
      <c r="D737" t="s">
        <v>32</v>
      </c>
      <c r="E737" s="3" t="s">
        <v>120</v>
      </c>
      <c r="F737" s="3"/>
      <c r="G737" s="3">
        <v>1</v>
      </c>
      <c r="H737" s="4" t="str">
        <f>IF($B$734="Y","OR","...")</f>
        <v>OR</v>
      </c>
      <c r="I737" s="3"/>
      <c r="J737" s="3"/>
      <c r="K737" s="3"/>
      <c r="L737" s="3"/>
      <c r="M737" s="3"/>
      <c r="N737" s="3"/>
    </row>
    <row r="739" spans="1:14" x14ac:dyDescent="0.35">
      <c r="A739" s="1" t="s">
        <v>0</v>
      </c>
      <c r="B739" s="1" t="s">
        <v>1</v>
      </c>
      <c r="C739" s="1" t="s">
        <v>146</v>
      </c>
      <c r="D739" s="1" t="s">
        <v>147</v>
      </c>
    </row>
    <row r="740" spans="1:14" x14ac:dyDescent="0.35">
      <c r="A740" t="s">
        <v>180</v>
      </c>
      <c r="B740" t="s">
        <v>180</v>
      </c>
      <c r="C740" t="s">
        <v>19</v>
      </c>
      <c r="D740" t="s">
        <v>23</v>
      </c>
    </row>
    <row r="742" spans="1:14" x14ac:dyDescent="0.35">
      <c r="B742" s="1" t="str">
        <f>'[8]Population Definitions'!$A$14</f>
        <v>wasting_hm</v>
      </c>
    </row>
    <row r="743" spans="1:14" x14ac:dyDescent="0.35">
      <c r="A743" s="1" t="str">
        <f>'[8]Population Definitions'!$A$12</f>
        <v>pt_hm</v>
      </c>
      <c r="B743" s="5" t="s">
        <v>148</v>
      </c>
    </row>
    <row r="745" spans="1:14" x14ac:dyDescent="0.35">
      <c r="A745" s="1" t="s">
        <v>149</v>
      </c>
      <c r="B745" s="1"/>
      <c r="C745" s="1" t="s">
        <v>150</v>
      </c>
      <c r="D745" s="1" t="s">
        <v>28</v>
      </c>
      <c r="E745" s="1" t="s">
        <v>29</v>
      </c>
      <c r="F745" s="1" t="s">
        <v>30</v>
      </c>
      <c r="G745" s="1" t="s">
        <v>31</v>
      </c>
      <c r="H745" s="1"/>
      <c r="I745" s="1">
        <v>2020</v>
      </c>
      <c r="J745" s="1">
        <v>2021</v>
      </c>
      <c r="K745" s="1">
        <v>2022</v>
      </c>
      <c r="L745" s="1">
        <v>2023</v>
      </c>
      <c r="M745" s="1">
        <v>2024</v>
      </c>
      <c r="N745" s="1">
        <v>2025</v>
      </c>
    </row>
    <row r="746" spans="1:14" x14ac:dyDescent="0.35">
      <c r="A746" s="1" t="str">
        <f>IF($B$743="Y",'[8]Population Definitions'!$A$12,"...")</f>
        <v>pt_hm</v>
      </c>
      <c r="B746" s="4" t="str">
        <f>IF($B$743="Y","---&gt;","...")</f>
        <v>---&gt;</v>
      </c>
      <c r="C746" s="1" t="str">
        <f>IF($B$743="Y",'[8]Population Definitions'!$A$14,"...")</f>
        <v>wasting_hm</v>
      </c>
      <c r="D746" t="s">
        <v>32</v>
      </c>
      <c r="E746" s="3" t="s">
        <v>120</v>
      </c>
      <c r="F746" s="3"/>
      <c r="G746" s="3">
        <v>1</v>
      </c>
      <c r="H746" s="4" t="str">
        <f>IF($B$743="Y","OR","...")</f>
        <v>OR</v>
      </c>
      <c r="I746" s="3"/>
      <c r="J746" s="3"/>
      <c r="K746" s="3"/>
      <c r="L746" s="3"/>
      <c r="M746" s="3"/>
      <c r="N746" s="3"/>
    </row>
    <row r="748" spans="1:14" x14ac:dyDescent="0.35">
      <c r="A748" s="1" t="s">
        <v>0</v>
      </c>
      <c r="B748" s="1" t="s">
        <v>1</v>
      </c>
      <c r="C748" s="1" t="s">
        <v>146</v>
      </c>
      <c r="D748" s="1" t="s">
        <v>147</v>
      </c>
    </row>
    <row r="749" spans="1:14" x14ac:dyDescent="0.35">
      <c r="A749" t="s">
        <v>182</v>
      </c>
      <c r="B749" t="s">
        <v>182</v>
      </c>
      <c r="C749" t="s">
        <v>19</v>
      </c>
      <c r="D749" t="s">
        <v>25</v>
      </c>
    </row>
    <row r="751" spans="1:14" x14ac:dyDescent="0.35">
      <c r="B751" s="1" t="str">
        <f>'[8]Population Definitions'!$A$15</f>
        <v>stunting_hm</v>
      </c>
    </row>
    <row r="752" spans="1:14" x14ac:dyDescent="0.35">
      <c r="A752" s="1" t="str">
        <f>'[8]Population Definitions'!$A$12</f>
        <v>pt_hm</v>
      </c>
      <c r="B752" s="5" t="s">
        <v>148</v>
      </c>
    </row>
    <row r="754" spans="1:14" x14ac:dyDescent="0.35">
      <c r="A754" s="1" t="s">
        <v>149</v>
      </c>
      <c r="B754" s="1"/>
      <c r="C754" s="1" t="s">
        <v>150</v>
      </c>
      <c r="D754" s="1" t="s">
        <v>28</v>
      </c>
      <c r="E754" s="1" t="s">
        <v>29</v>
      </c>
      <c r="F754" s="1" t="s">
        <v>30</v>
      </c>
      <c r="G754" s="1" t="s">
        <v>31</v>
      </c>
      <c r="H754" s="1"/>
      <c r="I754" s="1">
        <v>2020</v>
      </c>
      <c r="J754" s="1">
        <v>2021</v>
      </c>
      <c r="K754" s="1">
        <v>2022</v>
      </c>
      <c r="L754" s="1">
        <v>2023</v>
      </c>
      <c r="M754" s="1">
        <v>2024</v>
      </c>
      <c r="N754" s="1">
        <v>2025</v>
      </c>
    </row>
    <row r="755" spans="1:14" x14ac:dyDescent="0.35">
      <c r="A755" s="1" t="str">
        <f>IF($B$752="Y",'[8]Population Definitions'!$A$12,"...")</f>
        <v>pt_hm</v>
      </c>
      <c r="B755" s="4" t="str">
        <f>IF($B$752="Y","---&gt;","...")</f>
        <v>---&gt;</v>
      </c>
      <c r="C755" s="1" t="str">
        <f>IF($B$752="Y",'[8]Population Definitions'!$A$15,"...")</f>
        <v>stunting_hm</v>
      </c>
      <c r="D755" t="s">
        <v>32</v>
      </c>
      <c r="E755" s="3" t="s">
        <v>120</v>
      </c>
      <c r="F755" s="3"/>
      <c r="G755" s="3">
        <v>1</v>
      </c>
      <c r="H755" s="4" t="str">
        <f>IF($B$752="Y","OR","...")</f>
        <v>OR</v>
      </c>
      <c r="I755" s="3"/>
      <c r="J755" s="3"/>
      <c r="K755" s="3"/>
      <c r="L755" s="3"/>
      <c r="M755" s="3"/>
      <c r="N755" s="3"/>
    </row>
    <row r="757" spans="1:14" x14ac:dyDescent="0.35">
      <c r="A757" s="1" t="s">
        <v>0</v>
      </c>
      <c r="B757" s="1" t="s">
        <v>1</v>
      </c>
      <c r="C757" s="1" t="s">
        <v>146</v>
      </c>
      <c r="D757" s="1" t="s">
        <v>147</v>
      </c>
    </row>
    <row r="758" spans="1:14" x14ac:dyDescent="0.35">
      <c r="A758" t="s">
        <v>243</v>
      </c>
      <c r="B758" t="s">
        <v>243</v>
      </c>
      <c r="C758" t="s">
        <v>3</v>
      </c>
      <c r="D758" t="s">
        <v>25</v>
      </c>
    </row>
    <row r="760" spans="1:14" x14ac:dyDescent="0.35">
      <c r="B760" s="1" t="str">
        <f>'[8]Population Definitions'!$A$15</f>
        <v>stunting_hm</v>
      </c>
    </row>
    <row r="761" spans="1:14" x14ac:dyDescent="0.35">
      <c r="A761" s="1" t="str">
        <f>'[8]Population Definitions'!$A$2</f>
        <v>anc_hm</v>
      </c>
      <c r="B761" s="5" t="s">
        <v>148</v>
      </c>
    </row>
    <row r="763" spans="1:14" x14ac:dyDescent="0.35">
      <c r="A763" s="1" t="s">
        <v>149</v>
      </c>
      <c r="B763" s="1"/>
      <c r="C763" s="1" t="s">
        <v>150</v>
      </c>
      <c r="D763" s="1" t="s">
        <v>28</v>
      </c>
      <c r="E763" s="1" t="s">
        <v>29</v>
      </c>
      <c r="F763" s="1" t="s">
        <v>30</v>
      </c>
      <c r="G763" s="1" t="s">
        <v>31</v>
      </c>
      <c r="H763" s="1"/>
      <c r="I763" s="1">
        <v>2020</v>
      </c>
      <c r="J763" s="1">
        <v>2021</v>
      </c>
      <c r="K763" s="1">
        <v>2022</v>
      </c>
      <c r="L763" s="1">
        <v>2023</v>
      </c>
      <c r="M763" s="1">
        <v>2024</v>
      </c>
      <c r="N763" s="1">
        <v>2025</v>
      </c>
    </row>
    <row r="764" spans="1:14" x14ac:dyDescent="0.35">
      <c r="A764" s="1" t="str">
        <f>IF($B$761="Y",'[8]Population Definitions'!$A$2,"...")</f>
        <v>anc_hm</v>
      </c>
      <c r="B764" s="4" t="str">
        <f>IF($B$761="Y","---&gt;","...")</f>
        <v>---&gt;</v>
      </c>
      <c r="C764" s="1" t="str">
        <f>IF($B$761="Y",'[8]Population Definitions'!$A$15,"...")</f>
        <v>stunting_hm</v>
      </c>
      <c r="D764" t="s">
        <v>32</v>
      </c>
      <c r="E764" s="3" t="s">
        <v>120</v>
      </c>
      <c r="F764" s="3"/>
      <c r="G764" s="3">
        <v>1</v>
      </c>
      <c r="H764" s="4" t="str">
        <f>IF($B$761="Y","OR","...")</f>
        <v>OR</v>
      </c>
      <c r="I764" s="3"/>
      <c r="J764" s="3"/>
      <c r="K764" s="3"/>
      <c r="L764" s="3"/>
      <c r="M764" s="3"/>
      <c r="N764" s="3"/>
    </row>
    <row r="766" spans="1:14" x14ac:dyDescent="0.35">
      <c r="A766" s="1" t="s">
        <v>0</v>
      </c>
      <c r="B766" s="1" t="s">
        <v>1</v>
      </c>
      <c r="C766" s="1" t="s">
        <v>146</v>
      </c>
      <c r="D766" s="1" t="s">
        <v>147</v>
      </c>
    </row>
    <row r="767" spans="1:14" x14ac:dyDescent="0.35">
      <c r="A767" t="s">
        <v>263</v>
      </c>
      <c r="B767" t="s">
        <v>263</v>
      </c>
      <c r="C767" t="s">
        <v>17</v>
      </c>
      <c r="D767" t="s">
        <v>25</v>
      </c>
    </row>
    <row r="769" spans="1:14" x14ac:dyDescent="0.35">
      <c r="B769" s="1" t="str">
        <f>'[8]Population Definitions'!$A$15</f>
        <v>stunting_hm</v>
      </c>
    </row>
    <row r="770" spans="1:14" x14ac:dyDescent="0.35">
      <c r="A770" s="1" t="str">
        <f>'[8]Population Definitions'!$A$11</f>
        <v>nsep_hm</v>
      </c>
      <c r="B770" s="5" t="s">
        <v>148</v>
      </c>
    </row>
    <row r="772" spans="1:14" x14ac:dyDescent="0.35">
      <c r="A772" s="1" t="s">
        <v>149</v>
      </c>
      <c r="B772" s="1"/>
      <c r="C772" s="1" t="s">
        <v>150</v>
      </c>
      <c r="D772" s="1" t="s">
        <v>28</v>
      </c>
      <c r="E772" s="1" t="s">
        <v>29</v>
      </c>
      <c r="F772" s="1" t="s">
        <v>30</v>
      </c>
      <c r="G772" s="1" t="s">
        <v>31</v>
      </c>
      <c r="H772" s="1"/>
      <c r="I772" s="1">
        <v>2020</v>
      </c>
      <c r="J772" s="1">
        <v>2021</v>
      </c>
      <c r="K772" s="1">
        <v>2022</v>
      </c>
      <c r="L772" s="1">
        <v>2023</v>
      </c>
      <c r="M772" s="1">
        <v>2024</v>
      </c>
      <c r="N772" s="1">
        <v>2025</v>
      </c>
    </row>
    <row r="773" spans="1:14" x14ac:dyDescent="0.35">
      <c r="A773" s="1" t="str">
        <f>IF($B$770="Y",'[8]Population Definitions'!$A$11,"...")</f>
        <v>nsep_hm</v>
      </c>
      <c r="B773" s="4" t="str">
        <f>IF($B$770="Y","---&gt;","...")</f>
        <v>---&gt;</v>
      </c>
      <c r="C773" s="1" t="str">
        <f>IF($B$770="Y",'[8]Population Definitions'!$A$15,"...")</f>
        <v>stunting_hm</v>
      </c>
      <c r="D773" t="s">
        <v>32</v>
      </c>
      <c r="E773" s="3" t="s">
        <v>120</v>
      </c>
      <c r="F773" s="3"/>
      <c r="G773" s="3">
        <v>1</v>
      </c>
      <c r="H773" s="4" t="str">
        <f>IF($B$770="Y","OR","...")</f>
        <v>OR</v>
      </c>
      <c r="I773" s="3"/>
      <c r="J773" s="3"/>
      <c r="K773" s="3"/>
      <c r="L773" s="3"/>
      <c r="M773" s="3"/>
      <c r="N773" s="3"/>
    </row>
    <row r="775" spans="1:14" x14ac:dyDescent="0.35">
      <c r="A775" s="1" t="s">
        <v>0</v>
      </c>
      <c r="B775" s="1" t="s">
        <v>1</v>
      </c>
      <c r="C775" s="1" t="s">
        <v>146</v>
      </c>
      <c r="D775" s="1" t="s">
        <v>147</v>
      </c>
    </row>
    <row r="776" spans="1:14" x14ac:dyDescent="0.35">
      <c r="A776" t="s">
        <v>181</v>
      </c>
      <c r="B776" t="s">
        <v>181</v>
      </c>
      <c r="C776" t="s">
        <v>5</v>
      </c>
      <c r="D776" t="s">
        <v>25</v>
      </c>
    </row>
    <row r="778" spans="1:14" x14ac:dyDescent="0.35">
      <c r="B778" s="1" t="str">
        <f>'[8]Population Definitions'!$A$15</f>
        <v>stunting_hm</v>
      </c>
    </row>
    <row r="779" spans="1:14" x14ac:dyDescent="0.35">
      <c r="A779" s="1" t="str">
        <f>'[8]Population Definitions'!$A$3</f>
        <v>asx_hm</v>
      </c>
      <c r="B779" s="5" t="s">
        <v>148</v>
      </c>
    </row>
    <row r="781" spans="1:14" x14ac:dyDescent="0.35">
      <c r="A781" s="1" t="s">
        <v>149</v>
      </c>
      <c r="B781" s="1"/>
      <c r="C781" s="1" t="s">
        <v>150</v>
      </c>
      <c r="D781" s="1" t="s">
        <v>28</v>
      </c>
      <c r="E781" s="1" t="s">
        <v>29</v>
      </c>
      <c r="F781" s="1" t="s">
        <v>30</v>
      </c>
      <c r="G781" s="1" t="s">
        <v>31</v>
      </c>
      <c r="H781" s="1"/>
      <c r="I781" s="1">
        <v>2020</v>
      </c>
      <c r="J781" s="1">
        <v>2021</v>
      </c>
      <c r="K781" s="1">
        <v>2022</v>
      </c>
      <c r="L781" s="1">
        <v>2023</v>
      </c>
      <c r="M781" s="1">
        <v>2024</v>
      </c>
      <c r="N781" s="1">
        <v>2025</v>
      </c>
    </row>
    <row r="782" spans="1:14" x14ac:dyDescent="0.35">
      <c r="A782" s="1" t="str">
        <f>IF($B$779="Y",'[8]Population Definitions'!$A$3,"...")</f>
        <v>asx_hm</v>
      </c>
      <c r="B782" s="4" t="str">
        <f>IF($B$779="Y","---&gt;","...")</f>
        <v>---&gt;</v>
      </c>
      <c r="C782" s="1" t="str">
        <f>IF($B$779="Y",'[8]Population Definitions'!$A$15,"...")</f>
        <v>stunting_hm</v>
      </c>
      <c r="D782" t="s">
        <v>32</v>
      </c>
      <c r="E782" s="3" t="s">
        <v>120</v>
      </c>
      <c r="F782" s="3"/>
      <c r="G782" s="3">
        <v>1</v>
      </c>
      <c r="H782" s="4" t="str">
        <f>IF($B$779="Y","OR","...")</f>
        <v>OR</v>
      </c>
      <c r="I782" s="3"/>
      <c r="J782" s="3"/>
      <c r="K782" s="3"/>
      <c r="L782" s="3"/>
      <c r="M782" s="3"/>
      <c r="N782" s="3"/>
    </row>
    <row r="784" spans="1:14" x14ac:dyDescent="0.35">
      <c r="A784" s="1" t="s">
        <v>0</v>
      </c>
      <c r="B784" s="1" t="s">
        <v>1</v>
      </c>
      <c r="C784" s="1" t="s">
        <v>146</v>
      </c>
      <c r="D784" s="1" t="s">
        <v>147</v>
      </c>
    </row>
    <row r="785" spans="1:14" x14ac:dyDescent="0.35">
      <c r="A785" t="s">
        <v>264</v>
      </c>
      <c r="B785" t="s">
        <v>264</v>
      </c>
      <c r="C785" t="s">
        <v>15</v>
      </c>
      <c r="D785" t="s">
        <v>25</v>
      </c>
    </row>
    <row r="787" spans="1:14" x14ac:dyDescent="0.35">
      <c r="B787" s="1" t="str">
        <f>'[8]Population Definitions'!$A$15</f>
        <v>stunting_hm</v>
      </c>
    </row>
    <row r="788" spans="1:14" x14ac:dyDescent="0.35">
      <c r="A788" s="1" t="str">
        <f>'[8]Population Definitions'!$A$10</f>
        <v>oth_hm</v>
      </c>
      <c r="B788" s="5" t="s">
        <v>148</v>
      </c>
    </row>
    <row r="790" spans="1:14" x14ac:dyDescent="0.35">
      <c r="A790" s="1" t="s">
        <v>149</v>
      </c>
      <c r="B790" s="1"/>
      <c r="C790" s="1" t="s">
        <v>150</v>
      </c>
      <c r="D790" s="1" t="s">
        <v>28</v>
      </c>
      <c r="E790" s="1" t="s">
        <v>29</v>
      </c>
      <c r="F790" s="1" t="s">
        <v>30</v>
      </c>
      <c r="G790" s="1" t="s">
        <v>31</v>
      </c>
      <c r="H790" s="1"/>
      <c r="I790" s="1">
        <v>2020</v>
      </c>
      <c r="J790" s="1">
        <v>2021</v>
      </c>
      <c r="K790" s="1">
        <v>2022</v>
      </c>
      <c r="L790" s="1">
        <v>2023</v>
      </c>
      <c r="M790" s="1">
        <v>2024</v>
      </c>
      <c r="N790" s="1">
        <v>2025</v>
      </c>
    </row>
    <row r="791" spans="1:14" x14ac:dyDescent="0.35">
      <c r="A791" s="1" t="str">
        <f>IF($B$788="Y",'[8]Population Definitions'!$A$10,"...")</f>
        <v>oth_hm</v>
      </c>
      <c r="B791" s="4" t="str">
        <f>IF($B$788="Y","---&gt;","...")</f>
        <v>---&gt;</v>
      </c>
      <c r="C791" s="1" t="str">
        <f>IF($B$788="Y",'[8]Population Definitions'!$A$15,"...")</f>
        <v>stunting_hm</v>
      </c>
      <c r="D791" t="s">
        <v>32</v>
      </c>
      <c r="E791" s="3" t="s">
        <v>120</v>
      </c>
      <c r="F791" s="3"/>
      <c r="G791" s="3">
        <v>1</v>
      </c>
      <c r="H791" s="4" t="str">
        <f>IF($B$788="Y","OR","...")</f>
        <v>OR</v>
      </c>
      <c r="I791" s="3"/>
      <c r="J791" s="3"/>
      <c r="K791" s="3"/>
      <c r="L791" s="3"/>
      <c r="M791" s="3"/>
      <c r="N791" s="3"/>
    </row>
    <row r="793" spans="1:14" x14ac:dyDescent="0.35">
      <c r="A793" s="1" t="s">
        <v>0</v>
      </c>
      <c r="B793" s="1" t="s">
        <v>1</v>
      </c>
      <c r="C793" s="1" t="s">
        <v>146</v>
      </c>
      <c r="D793" s="1" t="s">
        <v>147</v>
      </c>
    </row>
    <row r="794" spans="1:14" x14ac:dyDescent="0.35">
      <c r="A794" t="s">
        <v>265</v>
      </c>
      <c r="B794" t="s">
        <v>265</v>
      </c>
      <c r="C794" t="s">
        <v>21</v>
      </c>
      <c r="D794" t="s">
        <v>25</v>
      </c>
    </row>
    <row r="796" spans="1:14" x14ac:dyDescent="0.35">
      <c r="B796" s="1" t="str">
        <f>'[8]Population Definitions'!$A$15</f>
        <v>stunting_hm</v>
      </c>
    </row>
    <row r="797" spans="1:14" x14ac:dyDescent="0.35">
      <c r="A797" s="1" t="str">
        <f>'[8]Population Definitions'!$A$13</f>
        <v>rds_hm</v>
      </c>
      <c r="B797" s="5" t="s">
        <v>148</v>
      </c>
    </row>
    <row r="799" spans="1:14" x14ac:dyDescent="0.35">
      <c r="A799" s="1" t="s">
        <v>149</v>
      </c>
      <c r="B799" s="1"/>
      <c r="C799" s="1" t="s">
        <v>150</v>
      </c>
      <c r="D799" s="1" t="s">
        <v>28</v>
      </c>
      <c r="E799" s="1" t="s">
        <v>29</v>
      </c>
      <c r="F799" s="1" t="s">
        <v>30</v>
      </c>
      <c r="G799" s="1" t="s">
        <v>31</v>
      </c>
      <c r="H799" s="1"/>
      <c r="I799" s="1">
        <v>2020</v>
      </c>
      <c r="J799" s="1">
        <v>2021</v>
      </c>
      <c r="K799" s="1">
        <v>2022</v>
      </c>
      <c r="L799" s="1">
        <v>2023</v>
      </c>
      <c r="M799" s="1">
        <v>2024</v>
      </c>
      <c r="N799" s="1">
        <v>2025</v>
      </c>
    </row>
    <row r="800" spans="1:14" x14ac:dyDescent="0.35">
      <c r="A800" s="1" t="str">
        <f>IF($B$797="Y",'[8]Population Definitions'!$A$13,"...")</f>
        <v>rds_hm</v>
      </c>
      <c r="B800" s="4" t="str">
        <f>IF($B$797="Y","---&gt;","...")</f>
        <v>---&gt;</v>
      </c>
      <c r="C800" s="1" t="str">
        <f>IF($B$797="Y",'[8]Population Definitions'!$A$15,"...")</f>
        <v>stunting_hm</v>
      </c>
      <c r="D800" t="s">
        <v>32</v>
      </c>
      <c r="E800" s="3" t="s">
        <v>120</v>
      </c>
      <c r="F800" s="3"/>
      <c r="G800" s="3">
        <v>1</v>
      </c>
      <c r="H800" s="4" t="str">
        <f>IF($B$797="Y","OR","...")</f>
        <v>OR</v>
      </c>
      <c r="I800" s="3"/>
      <c r="J800" s="3"/>
      <c r="K800" s="3"/>
      <c r="L800" s="3"/>
      <c r="M800" s="3"/>
      <c r="N800" s="3"/>
    </row>
    <row r="802" spans="1:14" x14ac:dyDescent="0.35">
      <c r="A802" s="1" t="s">
        <v>0</v>
      </c>
      <c r="B802" s="1" t="s">
        <v>1</v>
      </c>
      <c r="C802" s="1" t="s">
        <v>146</v>
      </c>
      <c r="D802" s="1" t="s">
        <v>147</v>
      </c>
    </row>
    <row r="803" spans="1:14" x14ac:dyDescent="0.35">
      <c r="A803" t="s">
        <v>266</v>
      </c>
      <c r="B803" t="s">
        <v>266</v>
      </c>
      <c r="C803" t="s">
        <v>25</v>
      </c>
      <c r="D803" t="s">
        <v>25</v>
      </c>
    </row>
    <row r="805" spans="1:14" x14ac:dyDescent="0.35">
      <c r="B805" s="1" t="str">
        <f>'[8]Population Definitions'!$A$15</f>
        <v>stunting_hm</v>
      </c>
    </row>
    <row r="806" spans="1:14" x14ac:dyDescent="0.35">
      <c r="A806" s="1" t="str">
        <f>'[8]Population Definitions'!$A$15</f>
        <v>stunting_hm</v>
      </c>
      <c r="B806" s="5" t="s">
        <v>148</v>
      </c>
    </row>
    <row r="808" spans="1:14" x14ac:dyDescent="0.35">
      <c r="A808" s="1" t="s">
        <v>149</v>
      </c>
      <c r="B808" s="1"/>
      <c r="C808" s="1" t="s">
        <v>150</v>
      </c>
      <c r="D808" s="1" t="s">
        <v>28</v>
      </c>
      <c r="E808" s="1" t="s">
        <v>29</v>
      </c>
      <c r="F808" s="1" t="s">
        <v>30</v>
      </c>
      <c r="G808" s="1" t="s">
        <v>31</v>
      </c>
      <c r="H808" s="1"/>
      <c r="I808" s="1">
        <v>2020</v>
      </c>
      <c r="J808" s="1">
        <v>2021</v>
      </c>
      <c r="K808" s="1">
        <v>2022</v>
      </c>
      <c r="L808" s="1">
        <v>2023</v>
      </c>
      <c r="M808" s="1">
        <v>2024</v>
      </c>
      <c r="N808" s="1">
        <v>2025</v>
      </c>
    </row>
    <row r="809" spans="1:14" x14ac:dyDescent="0.35">
      <c r="A809" s="1" t="str">
        <f>IF($B$806="Y",'[8]Population Definitions'!$A$15,"...")</f>
        <v>stunting_hm</v>
      </c>
      <c r="B809" s="4" t="str">
        <f>IF($B$806="Y","---&gt;","...")</f>
        <v>---&gt;</v>
      </c>
      <c r="C809" s="1" t="str">
        <f>IF($B$806="Y",'[8]Population Definitions'!$A$15,"...")</f>
        <v>stunting_hm</v>
      </c>
      <c r="D809" t="s">
        <v>32</v>
      </c>
      <c r="E809" s="3" t="s">
        <v>120</v>
      </c>
      <c r="F809" s="3"/>
      <c r="G809" s="3">
        <v>1</v>
      </c>
      <c r="H809" s="4" t="str">
        <f>IF($B$806="Y","OR","...")</f>
        <v>OR</v>
      </c>
      <c r="I809" s="3"/>
      <c r="J809" s="3"/>
      <c r="K809" s="3"/>
      <c r="L809" s="3"/>
      <c r="M809" s="3"/>
      <c r="N809" s="3"/>
    </row>
  </sheetData>
  <conditionalFormatting sqref="B5">
    <cfRule type="cellIs" dxfId="449" priority="1" operator="equal">
      <formula>"Y"</formula>
    </cfRule>
    <cfRule type="cellIs" dxfId="448" priority="2" operator="equal">
      <formula>"N"</formula>
    </cfRule>
  </conditionalFormatting>
  <conditionalFormatting sqref="B14">
    <cfRule type="cellIs" dxfId="447" priority="6" operator="equal">
      <formula>"Y"</formula>
    </cfRule>
    <cfRule type="cellIs" dxfId="446" priority="7" operator="equal">
      <formula>"N"</formula>
    </cfRule>
  </conditionalFormatting>
  <conditionalFormatting sqref="B23">
    <cfRule type="cellIs" dxfId="445" priority="11" operator="equal">
      <formula>"Y"</formula>
    </cfRule>
    <cfRule type="cellIs" dxfId="444" priority="12" operator="equal">
      <formula>"N"</formula>
    </cfRule>
  </conditionalFormatting>
  <conditionalFormatting sqref="B32">
    <cfRule type="cellIs" dxfId="443" priority="17" operator="equal">
      <formula>"N"</formula>
    </cfRule>
    <cfRule type="cellIs" dxfId="442" priority="16" operator="equal">
      <formula>"Y"</formula>
    </cfRule>
  </conditionalFormatting>
  <conditionalFormatting sqref="B41">
    <cfRule type="cellIs" dxfId="441" priority="21" operator="equal">
      <formula>"Y"</formula>
    </cfRule>
    <cfRule type="cellIs" dxfId="440" priority="22" operator="equal">
      <formula>"N"</formula>
    </cfRule>
  </conditionalFormatting>
  <conditionalFormatting sqref="B50">
    <cfRule type="cellIs" dxfId="439" priority="27" operator="equal">
      <formula>"N"</formula>
    </cfRule>
    <cfRule type="cellIs" dxfId="438" priority="26" operator="equal">
      <formula>"Y"</formula>
    </cfRule>
  </conditionalFormatting>
  <conditionalFormatting sqref="B59">
    <cfRule type="cellIs" dxfId="437" priority="31" operator="equal">
      <formula>"Y"</formula>
    </cfRule>
    <cfRule type="cellIs" dxfId="436" priority="32" operator="equal">
      <formula>"N"</formula>
    </cfRule>
  </conditionalFormatting>
  <conditionalFormatting sqref="B68">
    <cfRule type="cellIs" dxfId="435" priority="36" operator="equal">
      <formula>"Y"</formula>
    </cfRule>
    <cfRule type="cellIs" dxfId="434" priority="37" operator="equal">
      <formula>"N"</formula>
    </cfRule>
  </conditionalFormatting>
  <conditionalFormatting sqref="B77">
    <cfRule type="cellIs" dxfId="433" priority="42" operator="equal">
      <formula>"N"</formula>
    </cfRule>
    <cfRule type="cellIs" dxfId="432" priority="41" operator="equal">
      <formula>"Y"</formula>
    </cfRule>
  </conditionalFormatting>
  <conditionalFormatting sqref="B86">
    <cfRule type="cellIs" dxfId="431" priority="46" operator="equal">
      <formula>"Y"</formula>
    </cfRule>
    <cfRule type="cellIs" dxfId="430" priority="47" operator="equal">
      <formula>"N"</formula>
    </cfRule>
  </conditionalFormatting>
  <conditionalFormatting sqref="B95">
    <cfRule type="cellIs" dxfId="429" priority="51" operator="equal">
      <formula>"Y"</formula>
    </cfRule>
    <cfRule type="cellIs" dxfId="428" priority="52" operator="equal">
      <formula>"N"</formula>
    </cfRule>
  </conditionalFormatting>
  <conditionalFormatting sqref="B104">
    <cfRule type="cellIs" dxfId="427" priority="56" operator="equal">
      <formula>"Y"</formula>
    </cfRule>
    <cfRule type="cellIs" dxfId="426" priority="57" operator="equal">
      <formula>"N"</formula>
    </cfRule>
  </conditionalFormatting>
  <conditionalFormatting sqref="B113">
    <cfRule type="cellIs" dxfId="425" priority="62" operator="equal">
      <formula>"N"</formula>
    </cfRule>
    <cfRule type="cellIs" dxfId="424" priority="61" operator="equal">
      <formula>"Y"</formula>
    </cfRule>
  </conditionalFormatting>
  <conditionalFormatting sqref="B122">
    <cfRule type="cellIs" dxfId="423" priority="67" operator="equal">
      <formula>"N"</formula>
    </cfRule>
    <cfRule type="cellIs" dxfId="422" priority="66" operator="equal">
      <formula>"Y"</formula>
    </cfRule>
  </conditionalFormatting>
  <conditionalFormatting sqref="B131">
    <cfRule type="cellIs" dxfId="421" priority="72" operator="equal">
      <formula>"N"</formula>
    </cfRule>
    <cfRule type="cellIs" dxfId="420" priority="71" operator="equal">
      <formula>"Y"</formula>
    </cfRule>
  </conditionalFormatting>
  <conditionalFormatting sqref="B140">
    <cfRule type="cellIs" dxfId="419" priority="77" operator="equal">
      <formula>"N"</formula>
    </cfRule>
    <cfRule type="cellIs" dxfId="418" priority="76" operator="equal">
      <formula>"Y"</formula>
    </cfRule>
  </conditionalFormatting>
  <conditionalFormatting sqref="B149">
    <cfRule type="cellIs" dxfId="417" priority="82" operator="equal">
      <formula>"N"</formula>
    </cfRule>
    <cfRule type="cellIs" dxfId="416" priority="81" operator="equal">
      <formula>"Y"</formula>
    </cfRule>
  </conditionalFormatting>
  <conditionalFormatting sqref="B158">
    <cfRule type="cellIs" dxfId="415" priority="87" operator="equal">
      <formula>"N"</formula>
    </cfRule>
    <cfRule type="cellIs" dxfId="414" priority="86" operator="equal">
      <formula>"Y"</formula>
    </cfRule>
  </conditionalFormatting>
  <conditionalFormatting sqref="B167">
    <cfRule type="cellIs" dxfId="413" priority="92" operator="equal">
      <formula>"N"</formula>
    </cfRule>
    <cfRule type="cellIs" dxfId="412" priority="91" operator="equal">
      <formula>"Y"</formula>
    </cfRule>
  </conditionalFormatting>
  <conditionalFormatting sqref="B176">
    <cfRule type="cellIs" dxfId="411" priority="97" operator="equal">
      <formula>"N"</formula>
    </cfRule>
    <cfRule type="cellIs" dxfId="410" priority="96" operator="equal">
      <formula>"Y"</formula>
    </cfRule>
  </conditionalFormatting>
  <conditionalFormatting sqref="B185">
    <cfRule type="cellIs" dxfId="409" priority="101" operator="equal">
      <formula>"Y"</formula>
    </cfRule>
    <cfRule type="cellIs" dxfId="408" priority="102" operator="equal">
      <formula>"N"</formula>
    </cfRule>
  </conditionalFormatting>
  <conditionalFormatting sqref="B194">
    <cfRule type="cellIs" dxfId="407" priority="107" operator="equal">
      <formula>"N"</formula>
    </cfRule>
    <cfRule type="cellIs" dxfId="406" priority="106" operator="equal">
      <formula>"Y"</formula>
    </cfRule>
  </conditionalFormatting>
  <conditionalFormatting sqref="B203">
    <cfRule type="cellIs" dxfId="405" priority="111" operator="equal">
      <formula>"Y"</formula>
    </cfRule>
    <cfRule type="cellIs" dxfId="404" priority="112" operator="equal">
      <formula>"N"</formula>
    </cfRule>
  </conditionalFormatting>
  <conditionalFormatting sqref="B212">
    <cfRule type="cellIs" dxfId="403" priority="116" operator="equal">
      <formula>"Y"</formula>
    </cfRule>
    <cfRule type="cellIs" dxfId="402" priority="117" operator="equal">
      <formula>"N"</formula>
    </cfRule>
  </conditionalFormatting>
  <conditionalFormatting sqref="B221">
    <cfRule type="cellIs" dxfId="401" priority="122" operator="equal">
      <formula>"N"</formula>
    </cfRule>
    <cfRule type="cellIs" dxfId="400" priority="121" operator="equal">
      <formula>"Y"</formula>
    </cfRule>
  </conditionalFormatting>
  <conditionalFormatting sqref="B230">
    <cfRule type="cellIs" dxfId="399" priority="126" operator="equal">
      <formula>"Y"</formula>
    </cfRule>
    <cfRule type="cellIs" dxfId="398" priority="127" operator="equal">
      <formula>"N"</formula>
    </cfRule>
  </conditionalFormatting>
  <conditionalFormatting sqref="B239">
    <cfRule type="cellIs" dxfId="397" priority="131" operator="equal">
      <formula>"Y"</formula>
    </cfRule>
    <cfRule type="cellIs" dxfId="396" priority="132" operator="equal">
      <formula>"N"</formula>
    </cfRule>
  </conditionalFormatting>
  <conditionalFormatting sqref="B248">
    <cfRule type="cellIs" dxfId="395" priority="136" operator="equal">
      <formula>"Y"</formula>
    </cfRule>
    <cfRule type="cellIs" dxfId="394" priority="137" operator="equal">
      <formula>"N"</formula>
    </cfRule>
  </conditionalFormatting>
  <conditionalFormatting sqref="B257">
    <cfRule type="cellIs" dxfId="393" priority="141" operator="equal">
      <formula>"Y"</formula>
    </cfRule>
    <cfRule type="cellIs" dxfId="392" priority="142" operator="equal">
      <formula>"N"</formula>
    </cfRule>
  </conditionalFormatting>
  <conditionalFormatting sqref="B266">
    <cfRule type="cellIs" dxfId="391" priority="146" operator="equal">
      <formula>"Y"</formula>
    </cfRule>
    <cfRule type="cellIs" dxfId="390" priority="147" operator="equal">
      <formula>"N"</formula>
    </cfRule>
  </conditionalFormatting>
  <conditionalFormatting sqref="B275">
    <cfRule type="cellIs" dxfId="389" priority="152" operator="equal">
      <formula>"N"</formula>
    </cfRule>
    <cfRule type="cellIs" dxfId="388" priority="151" operator="equal">
      <formula>"Y"</formula>
    </cfRule>
  </conditionalFormatting>
  <conditionalFormatting sqref="B284">
    <cfRule type="cellIs" dxfId="387" priority="156" operator="equal">
      <formula>"Y"</formula>
    </cfRule>
    <cfRule type="cellIs" dxfId="386" priority="157" operator="equal">
      <formula>"N"</formula>
    </cfRule>
  </conditionalFormatting>
  <conditionalFormatting sqref="B293">
    <cfRule type="cellIs" dxfId="385" priority="161" operator="equal">
      <formula>"Y"</formula>
    </cfRule>
    <cfRule type="cellIs" dxfId="384" priority="162" operator="equal">
      <formula>"N"</formula>
    </cfRule>
  </conditionalFormatting>
  <conditionalFormatting sqref="B302">
    <cfRule type="cellIs" dxfId="383" priority="167" operator="equal">
      <formula>"N"</formula>
    </cfRule>
    <cfRule type="cellIs" dxfId="382" priority="166" operator="equal">
      <formula>"Y"</formula>
    </cfRule>
  </conditionalFormatting>
  <conditionalFormatting sqref="B311">
    <cfRule type="cellIs" dxfId="381" priority="172" operator="equal">
      <formula>"N"</formula>
    </cfRule>
    <cfRule type="cellIs" dxfId="380" priority="171" operator="equal">
      <formula>"Y"</formula>
    </cfRule>
  </conditionalFormatting>
  <conditionalFormatting sqref="B320">
    <cfRule type="cellIs" dxfId="379" priority="177" operator="equal">
      <formula>"N"</formula>
    </cfRule>
    <cfRule type="cellIs" dxfId="378" priority="176" operator="equal">
      <formula>"Y"</formula>
    </cfRule>
  </conditionalFormatting>
  <conditionalFormatting sqref="B329">
    <cfRule type="cellIs" dxfId="377" priority="181" operator="equal">
      <formula>"Y"</formula>
    </cfRule>
    <cfRule type="cellIs" dxfId="376" priority="182" operator="equal">
      <formula>"N"</formula>
    </cfRule>
  </conditionalFormatting>
  <conditionalFormatting sqref="B338">
    <cfRule type="cellIs" dxfId="375" priority="186" operator="equal">
      <formula>"Y"</formula>
    </cfRule>
    <cfRule type="cellIs" dxfId="374" priority="187" operator="equal">
      <formula>"N"</formula>
    </cfRule>
  </conditionalFormatting>
  <conditionalFormatting sqref="B347">
    <cfRule type="cellIs" dxfId="373" priority="192" operator="equal">
      <formula>"N"</formula>
    </cfRule>
    <cfRule type="cellIs" dxfId="372" priority="191" operator="equal">
      <formula>"Y"</formula>
    </cfRule>
  </conditionalFormatting>
  <conditionalFormatting sqref="B356">
    <cfRule type="cellIs" dxfId="371" priority="197" operator="equal">
      <formula>"N"</formula>
    </cfRule>
    <cfRule type="cellIs" dxfId="370" priority="196" operator="equal">
      <formula>"Y"</formula>
    </cfRule>
  </conditionalFormatting>
  <conditionalFormatting sqref="B365">
    <cfRule type="cellIs" dxfId="369" priority="201" operator="equal">
      <formula>"Y"</formula>
    </cfRule>
    <cfRule type="cellIs" dxfId="368" priority="202" operator="equal">
      <formula>"N"</formula>
    </cfRule>
  </conditionalFormatting>
  <conditionalFormatting sqref="B374">
    <cfRule type="cellIs" dxfId="367" priority="206" operator="equal">
      <formula>"Y"</formula>
    </cfRule>
    <cfRule type="cellIs" dxfId="366" priority="207" operator="equal">
      <formula>"N"</formula>
    </cfRule>
  </conditionalFormatting>
  <conditionalFormatting sqref="B383">
    <cfRule type="cellIs" dxfId="365" priority="211" operator="equal">
      <formula>"Y"</formula>
    </cfRule>
    <cfRule type="cellIs" dxfId="364" priority="212" operator="equal">
      <formula>"N"</formula>
    </cfRule>
  </conditionalFormatting>
  <conditionalFormatting sqref="B392">
    <cfRule type="cellIs" dxfId="363" priority="216" operator="equal">
      <formula>"Y"</formula>
    </cfRule>
    <cfRule type="cellIs" dxfId="362" priority="217" operator="equal">
      <formula>"N"</formula>
    </cfRule>
  </conditionalFormatting>
  <conditionalFormatting sqref="B401">
    <cfRule type="cellIs" dxfId="361" priority="221" operator="equal">
      <formula>"Y"</formula>
    </cfRule>
    <cfRule type="cellIs" dxfId="360" priority="222" operator="equal">
      <formula>"N"</formula>
    </cfRule>
  </conditionalFormatting>
  <conditionalFormatting sqref="B410">
    <cfRule type="cellIs" dxfId="359" priority="227" operator="equal">
      <formula>"N"</formula>
    </cfRule>
    <cfRule type="cellIs" dxfId="358" priority="226" operator="equal">
      <formula>"Y"</formula>
    </cfRule>
  </conditionalFormatting>
  <conditionalFormatting sqref="B419">
    <cfRule type="cellIs" dxfId="357" priority="231" operator="equal">
      <formula>"Y"</formula>
    </cfRule>
    <cfRule type="cellIs" dxfId="356" priority="232" operator="equal">
      <formula>"N"</formula>
    </cfRule>
  </conditionalFormatting>
  <conditionalFormatting sqref="B428">
    <cfRule type="cellIs" dxfId="355" priority="236" operator="equal">
      <formula>"Y"</formula>
    </cfRule>
    <cfRule type="cellIs" dxfId="354" priority="237" operator="equal">
      <formula>"N"</formula>
    </cfRule>
  </conditionalFormatting>
  <conditionalFormatting sqref="B437">
    <cfRule type="cellIs" dxfId="353" priority="242" operator="equal">
      <formula>"N"</formula>
    </cfRule>
    <cfRule type="cellIs" dxfId="352" priority="241" operator="equal">
      <formula>"Y"</formula>
    </cfRule>
  </conditionalFormatting>
  <conditionalFormatting sqref="B446">
    <cfRule type="cellIs" dxfId="351" priority="247" operator="equal">
      <formula>"N"</formula>
    </cfRule>
    <cfRule type="cellIs" dxfId="350" priority="246" operator="equal">
      <formula>"Y"</formula>
    </cfRule>
  </conditionalFormatting>
  <conditionalFormatting sqref="B455">
    <cfRule type="cellIs" dxfId="349" priority="252" operator="equal">
      <formula>"N"</formula>
    </cfRule>
    <cfRule type="cellIs" dxfId="348" priority="251" operator="equal">
      <formula>"Y"</formula>
    </cfRule>
  </conditionalFormatting>
  <conditionalFormatting sqref="B464">
    <cfRule type="cellIs" dxfId="347" priority="256" operator="equal">
      <formula>"Y"</formula>
    </cfRule>
    <cfRule type="cellIs" dxfId="346" priority="257" operator="equal">
      <formula>"N"</formula>
    </cfRule>
  </conditionalFormatting>
  <conditionalFormatting sqref="B473">
    <cfRule type="cellIs" dxfId="345" priority="261" operator="equal">
      <formula>"Y"</formula>
    </cfRule>
    <cfRule type="cellIs" dxfId="344" priority="262" operator="equal">
      <formula>"N"</formula>
    </cfRule>
  </conditionalFormatting>
  <conditionalFormatting sqref="B482">
    <cfRule type="cellIs" dxfId="343" priority="267" operator="equal">
      <formula>"N"</formula>
    </cfRule>
    <cfRule type="cellIs" dxfId="342" priority="266" operator="equal">
      <formula>"Y"</formula>
    </cfRule>
  </conditionalFormatting>
  <conditionalFormatting sqref="B491">
    <cfRule type="cellIs" dxfId="341" priority="272" operator="equal">
      <formula>"N"</formula>
    </cfRule>
    <cfRule type="cellIs" dxfId="340" priority="271" operator="equal">
      <formula>"Y"</formula>
    </cfRule>
  </conditionalFormatting>
  <conditionalFormatting sqref="B500">
    <cfRule type="cellIs" dxfId="339" priority="276" operator="equal">
      <formula>"Y"</formula>
    </cfRule>
    <cfRule type="cellIs" dxfId="338" priority="277" operator="equal">
      <formula>"N"</formula>
    </cfRule>
  </conditionalFormatting>
  <conditionalFormatting sqref="B509">
    <cfRule type="cellIs" dxfId="337" priority="281" operator="equal">
      <formula>"Y"</formula>
    </cfRule>
    <cfRule type="cellIs" dxfId="336" priority="282" operator="equal">
      <formula>"N"</formula>
    </cfRule>
  </conditionalFormatting>
  <conditionalFormatting sqref="B518">
    <cfRule type="cellIs" dxfId="335" priority="287" operator="equal">
      <formula>"N"</formula>
    </cfRule>
    <cfRule type="cellIs" dxfId="334" priority="286" operator="equal">
      <formula>"Y"</formula>
    </cfRule>
  </conditionalFormatting>
  <conditionalFormatting sqref="B527">
    <cfRule type="cellIs" dxfId="333" priority="292" operator="equal">
      <formula>"N"</formula>
    </cfRule>
    <cfRule type="cellIs" dxfId="332" priority="291" operator="equal">
      <formula>"Y"</formula>
    </cfRule>
  </conditionalFormatting>
  <conditionalFormatting sqref="B536">
    <cfRule type="cellIs" dxfId="331" priority="297" operator="equal">
      <formula>"N"</formula>
    </cfRule>
    <cfRule type="cellIs" dxfId="330" priority="296" operator="equal">
      <formula>"Y"</formula>
    </cfRule>
  </conditionalFormatting>
  <conditionalFormatting sqref="B545">
    <cfRule type="cellIs" dxfId="329" priority="302" operator="equal">
      <formula>"N"</formula>
    </cfRule>
    <cfRule type="cellIs" dxfId="328" priority="301" operator="equal">
      <formula>"Y"</formula>
    </cfRule>
  </conditionalFormatting>
  <conditionalFormatting sqref="B554">
    <cfRule type="cellIs" dxfId="327" priority="306" operator="equal">
      <formula>"Y"</formula>
    </cfRule>
    <cfRule type="cellIs" dxfId="326" priority="307" operator="equal">
      <formula>"N"</formula>
    </cfRule>
  </conditionalFormatting>
  <conditionalFormatting sqref="B563">
    <cfRule type="cellIs" dxfId="325" priority="311" operator="equal">
      <formula>"Y"</formula>
    </cfRule>
    <cfRule type="cellIs" dxfId="324" priority="312" operator="equal">
      <formula>"N"</formula>
    </cfRule>
  </conditionalFormatting>
  <conditionalFormatting sqref="B572">
    <cfRule type="cellIs" dxfId="323" priority="316" operator="equal">
      <formula>"Y"</formula>
    </cfRule>
    <cfRule type="cellIs" dxfId="322" priority="317" operator="equal">
      <formula>"N"</formula>
    </cfRule>
  </conditionalFormatting>
  <conditionalFormatting sqref="B581">
    <cfRule type="cellIs" dxfId="321" priority="322" operator="equal">
      <formula>"N"</formula>
    </cfRule>
    <cfRule type="cellIs" dxfId="320" priority="321" operator="equal">
      <formula>"Y"</formula>
    </cfRule>
  </conditionalFormatting>
  <conditionalFormatting sqref="B590">
    <cfRule type="cellIs" dxfId="319" priority="327" operator="equal">
      <formula>"N"</formula>
    </cfRule>
    <cfRule type="cellIs" dxfId="318" priority="326" operator="equal">
      <formula>"Y"</formula>
    </cfRule>
  </conditionalFormatting>
  <conditionalFormatting sqref="B599">
    <cfRule type="cellIs" dxfId="317" priority="332" operator="equal">
      <formula>"N"</formula>
    </cfRule>
    <cfRule type="cellIs" dxfId="316" priority="331" operator="equal">
      <formula>"Y"</formula>
    </cfRule>
  </conditionalFormatting>
  <conditionalFormatting sqref="B608">
    <cfRule type="cellIs" dxfId="315" priority="336" operator="equal">
      <formula>"Y"</formula>
    </cfRule>
    <cfRule type="cellIs" dxfId="314" priority="337" operator="equal">
      <formula>"N"</formula>
    </cfRule>
  </conditionalFormatting>
  <conditionalFormatting sqref="B617">
    <cfRule type="cellIs" dxfId="313" priority="341" operator="equal">
      <formula>"Y"</formula>
    </cfRule>
    <cfRule type="cellIs" dxfId="312" priority="342" operator="equal">
      <formula>"N"</formula>
    </cfRule>
  </conditionalFormatting>
  <conditionalFormatting sqref="B626">
    <cfRule type="cellIs" dxfId="311" priority="346" operator="equal">
      <formula>"Y"</formula>
    </cfRule>
    <cfRule type="cellIs" dxfId="310" priority="347" operator="equal">
      <formula>"N"</formula>
    </cfRule>
  </conditionalFormatting>
  <conditionalFormatting sqref="B635">
    <cfRule type="cellIs" dxfId="309" priority="352" operator="equal">
      <formula>"N"</formula>
    </cfRule>
    <cfRule type="cellIs" dxfId="308" priority="351" operator="equal">
      <formula>"Y"</formula>
    </cfRule>
  </conditionalFormatting>
  <conditionalFormatting sqref="B644">
    <cfRule type="cellIs" dxfId="307" priority="357" operator="equal">
      <formula>"N"</formula>
    </cfRule>
    <cfRule type="cellIs" dxfId="306" priority="356" operator="equal">
      <formula>"Y"</formula>
    </cfRule>
  </conditionalFormatting>
  <conditionalFormatting sqref="B653">
    <cfRule type="cellIs" dxfId="305" priority="361" operator="equal">
      <formula>"Y"</formula>
    </cfRule>
    <cfRule type="cellIs" dxfId="304" priority="362" operator="equal">
      <formula>"N"</formula>
    </cfRule>
  </conditionalFormatting>
  <conditionalFormatting sqref="B662">
    <cfRule type="cellIs" dxfId="303" priority="366" operator="equal">
      <formula>"Y"</formula>
    </cfRule>
    <cfRule type="cellIs" dxfId="302" priority="367" operator="equal">
      <formula>"N"</formula>
    </cfRule>
  </conditionalFormatting>
  <conditionalFormatting sqref="B671">
    <cfRule type="cellIs" dxfId="301" priority="371" operator="equal">
      <formula>"Y"</formula>
    </cfRule>
    <cfRule type="cellIs" dxfId="300" priority="372" operator="equal">
      <formula>"N"</formula>
    </cfRule>
  </conditionalFormatting>
  <conditionalFormatting sqref="B680">
    <cfRule type="cellIs" dxfId="299" priority="376" operator="equal">
      <formula>"Y"</formula>
    </cfRule>
    <cfRule type="cellIs" dxfId="298" priority="377" operator="equal">
      <formula>"N"</formula>
    </cfRule>
  </conditionalFormatting>
  <conditionalFormatting sqref="B689">
    <cfRule type="cellIs" dxfId="297" priority="381" operator="equal">
      <formula>"Y"</formula>
    </cfRule>
    <cfRule type="cellIs" dxfId="296" priority="382" operator="equal">
      <formula>"N"</formula>
    </cfRule>
  </conditionalFormatting>
  <conditionalFormatting sqref="B698">
    <cfRule type="cellIs" dxfId="295" priority="387" operator="equal">
      <formula>"N"</formula>
    </cfRule>
    <cfRule type="cellIs" dxfId="294" priority="386" operator="equal">
      <formula>"Y"</formula>
    </cfRule>
  </conditionalFormatting>
  <conditionalFormatting sqref="B707">
    <cfRule type="cellIs" dxfId="293" priority="392" operator="equal">
      <formula>"N"</formula>
    </cfRule>
    <cfRule type="cellIs" dxfId="292" priority="391" operator="equal">
      <formula>"Y"</formula>
    </cfRule>
  </conditionalFormatting>
  <conditionalFormatting sqref="B716">
    <cfRule type="cellIs" dxfId="291" priority="396" operator="equal">
      <formula>"Y"</formula>
    </cfRule>
    <cfRule type="cellIs" dxfId="290" priority="397" operator="equal">
      <formula>"N"</formula>
    </cfRule>
  </conditionalFormatting>
  <conditionalFormatting sqref="B725">
    <cfRule type="cellIs" dxfId="289" priority="401" operator="equal">
      <formula>"Y"</formula>
    </cfRule>
    <cfRule type="cellIs" dxfId="288" priority="402" operator="equal">
      <formula>"N"</formula>
    </cfRule>
  </conditionalFormatting>
  <conditionalFormatting sqref="B734">
    <cfRule type="cellIs" dxfId="287" priority="407" operator="equal">
      <formula>"N"</formula>
    </cfRule>
    <cfRule type="cellIs" dxfId="286" priority="406" operator="equal">
      <formula>"Y"</formula>
    </cfRule>
  </conditionalFormatting>
  <conditionalFormatting sqref="B743">
    <cfRule type="cellIs" dxfId="285" priority="411" operator="equal">
      <formula>"Y"</formula>
    </cfRule>
    <cfRule type="cellIs" dxfId="284" priority="412" operator="equal">
      <formula>"N"</formula>
    </cfRule>
  </conditionalFormatting>
  <conditionalFormatting sqref="B752">
    <cfRule type="cellIs" dxfId="283" priority="416" operator="equal">
      <formula>"Y"</formula>
    </cfRule>
    <cfRule type="cellIs" dxfId="282" priority="417" operator="equal">
      <formula>"N"</formula>
    </cfRule>
  </conditionalFormatting>
  <conditionalFormatting sqref="B761">
    <cfRule type="cellIs" dxfId="281" priority="421" operator="equal">
      <formula>"Y"</formula>
    </cfRule>
    <cfRule type="cellIs" dxfId="280" priority="422" operator="equal">
      <formula>"N"</formula>
    </cfRule>
  </conditionalFormatting>
  <conditionalFormatting sqref="B770">
    <cfRule type="cellIs" dxfId="279" priority="426" operator="equal">
      <formula>"Y"</formula>
    </cfRule>
    <cfRule type="cellIs" dxfId="278" priority="427" operator="equal">
      <formula>"N"</formula>
    </cfRule>
  </conditionalFormatting>
  <conditionalFormatting sqref="B779">
    <cfRule type="cellIs" dxfId="277" priority="431" operator="equal">
      <formula>"Y"</formula>
    </cfRule>
    <cfRule type="cellIs" dxfId="276" priority="432" operator="equal">
      <formula>"N"</formula>
    </cfRule>
  </conditionalFormatting>
  <conditionalFormatting sqref="B788">
    <cfRule type="cellIs" dxfId="275" priority="436" operator="equal">
      <formula>"Y"</formula>
    </cfRule>
    <cfRule type="cellIs" dxfId="274" priority="437" operator="equal">
      <formula>"N"</formula>
    </cfRule>
  </conditionalFormatting>
  <conditionalFormatting sqref="B797">
    <cfRule type="cellIs" dxfId="273" priority="441" operator="equal">
      <formula>"Y"</formula>
    </cfRule>
    <cfRule type="cellIs" dxfId="272" priority="442" operator="equal">
      <formula>"N"</formula>
    </cfRule>
  </conditionalFormatting>
  <conditionalFormatting sqref="B806">
    <cfRule type="cellIs" dxfId="271" priority="447" operator="equal">
      <formula>"N"</formula>
    </cfRule>
    <cfRule type="cellIs" dxfId="270" priority="446" operator="equal">
      <formula>"Y"</formula>
    </cfRule>
  </conditionalFormatting>
  <conditionalFormatting sqref="D8:N8">
    <cfRule type="expression" dxfId="269" priority="5">
      <formula>$B$5&lt;&gt;"Y"</formula>
    </cfRule>
  </conditionalFormatting>
  <conditionalFormatting sqref="D17:N17">
    <cfRule type="expression" dxfId="268" priority="10">
      <formula>$B$14&lt;&gt;"Y"</formula>
    </cfRule>
  </conditionalFormatting>
  <conditionalFormatting sqref="D26:N26">
    <cfRule type="expression" dxfId="267" priority="15">
      <formula>$B$23&lt;&gt;"Y"</formula>
    </cfRule>
  </conditionalFormatting>
  <conditionalFormatting sqref="D35:N35">
    <cfRule type="expression" dxfId="266" priority="20">
      <formula>$B$32&lt;&gt;"Y"</formula>
    </cfRule>
  </conditionalFormatting>
  <conditionalFormatting sqref="D44:N44">
    <cfRule type="expression" dxfId="265" priority="25">
      <formula>$B$41&lt;&gt;"Y"</formula>
    </cfRule>
  </conditionalFormatting>
  <conditionalFormatting sqref="D53:N53">
    <cfRule type="expression" dxfId="264" priority="30">
      <formula>$B$50&lt;&gt;"Y"</formula>
    </cfRule>
  </conditionalFormatting>
  <conditionalFormatting sqref="D62:N62">
    <cfRule type="expression" dxfId="263" priority="35">
      <formula>$B$59&lt;&gt;"Y"</formula>
    </cfRule>
  </conditionalFormatting>
  <conditionalFormatting sqref="D71:N71">
    <cfRule type="expression" dxfId="262" priority="40">
      <formula>$B$68&lt;&gt;"Y"</formula>
    </cfRule>
  </conditionalFormatting>
  <conditionalFormatting sqref="D80:N80">
    <cfRule type="expression" dxfId="261" priority="45">
      <formula>$B$77&lt;&gt;"Y"</formula>
    </cfRule>
  </conditionalFormatting>
  <conditionalFormatting sqref="D89:N89">
    <cfRule type="expression" dxfId="260" priority="50">
      <formula>$B$86&lt;&gt;"Y"</formula>
    </cfRule>
  </conditionalFormatting>
  <conditionalFormatting sqref="D98:N98">
    <cfRule type="expression" dxfId="259" priority="55">
      <formula>$B$95&lt;&gt;"Y"</formula>
    </cfRule>
  </conditionalFormatting>
  <conditionalFormatting sqref="D107:N107">
    <cfRule type="expression" dxfId="258" priority="60">
      <formula>$B$104&lt;&gt;"Y"</formula>
    </cfRule>
  </conditionalFormatting>
  <conditionalFormatting sqref="D116:N116">
    <cfRule type="expression" dxfId="257" priority="65">
      <formula>$B$113&lt;&gt;"Y"</formula>
    </cfRule>
  </conditionalFormatting>
  <conditionalFormatting sqref="D125:N125">
    <cfRule type="expression" dxfId="256" priority="70">
      <formula>$B$122&lt;&gt;"Y"</formula>
    </cfRule>
  </conditionalFormatting>
  <conditionalFormatting sqref="D134:N134">
    <cfRule type="expression" dxfId="255" priority="75">
      <formula>$B$131&lt;&gt;"Y"</formula>
    </cfRule>
  </conditionalFormatting>
  <conditionalFormatting sqref="D143:N143">
    <cfRule type="expression" dxfId="254" priority="80">
      <formula>$B$140&lt;&gt;"Y"</formula>
    </cfRule>
  </conditionalFormatting>
  <conditionalFormatting sqref="D152:N152">
    <cfRule type="expression" dxfId="253" priority="85">
      <formula>$B$149&lt;&gt;"Y"</formula>
    </cfRule>
  </conditionalFormatting>
  <conditionalFormatting sqref="D161:N161">
    <cfRule type="expression" dxfId="252" priority="90">
      <formula>$B$158&lt;&gt;"Y"</formula>
    </cfRule>
  </conditionalFormatting>
  <conditionalFormatting sqref="D170:N170">
    <cfRule type="expression" dxfId="251" priority="95">
      <formula>$B$167&lt;&gt;"Y"</formula>
    </cfRule>
  </conditionalFormatting>
  <conditionalFormatting sqref="D179:N179">
    <cfRule type="expression" dxfId="250" priority="100">
      <formula>$B$176&lt;&gt;"Y"</formula>
    </cfRule>
  </conditionalFormatting>
  <conditionalFormatting sqref="D188:N188">
    <cfRule type="expression" dxfId="249" priority="105">
      <formula>$B$185&lt;&gt;"Y"</formula>
    </cfRule>
  </conditionalFormatting>
  <conditionalFormatting sqref="D197:N197">
    <cfRule type="expression" dxfId="248" priority="110">
      <formula>$B$194&lt;&gt;"Y"</formula>
    </cfRule>
  </conditionalFormatting>
  <conditionalFormatting sqref="D206:N206">
    <cfRule type="expression" dxfId="247" priority="115">
      <formula>$B$203&lt;&gt;"Y"</formula>
    </cfRule>
  </conditionalFormatting>
  <conditionalFormatting sqref="D215:N215">
    <cfRule type="expression" dxfId="246" priority="120">
      <formula>$B$212&lt;&gt;"Y"</formula>
    </cfRule>
  </conditionalFormatting>
  <conditionalFormatting sqref="D224:N224">
    <cfRule type="expression" dxfId="245" priority="125">
      <formula>$B$221&lt;&gt;"Y"</formula>
    </cfRule>
  </conditionalFormatting>
  <conditionalFormatting sqref="D233:N233">
    <cfRule type="expression" dxfId="244" priority="130">
      <formula>$B$230&lt;&gt;"Y"</formula>
    </cfRule>
  </conditionalFormatting>
  <conditionalFormatting sqref="D242:N242">
    <cfRule type="expression" dxfId="243" priority="135">
      <formula>$B$239&lt;&gt;"Y"</formula>
    </cfRule>
  </conditionalFormatting>
  <conditionalFormatting sqref="D251:N251">
    <cfRule type="expression" dxfId="242" priority="140">
      <formula>$B$248&lt;&gt;"Y"</formula>
    </cfRule>
  </conditionalFormatting>
  <conditionalFormatting sqref="D260:N260">
    <cfRule type="expression" dxfId="241" priority="145">
      <formula>$B$257&lt;&gt;"Y"</formula>
    </cfRule>
  </conditionalFormatting>
  <conditionalFormatting sqref="D269:N269">
    <cfRule type="expression" dxfId="240" priority="150">
      <formula>$B$266&lt;&gt;"Y"</formula>
    </cfRule>
  </conditionalFormatting>
  <conditionalFormatting sqref="D278:N278">
    <cfRule type="expression" dxfId="239" priority="155">
      <formula>$B$275&lt;&gt;"Y"</formula>
    </cfRule>
  </conditionalFormatting>
  <conditionalFormatting sqref="D287:N287">
    <cfRule type="expression" dxfId="238" priority="160">
      <formula>$B$284&lt;&gt;"Y"</formula>
    </cfRule>
  </conditionalFormatting>
  <conditionalFormatting sqref="D296:N296">
    <cfRule type="expression" dxfId="237" priority="165">
      <formula>$B$293&lt;&gt;"Y"</formula>
    </cfRule>
  </conditionalFormatting>
  <conditionalFormatting sqref="D305:N305">
    <cfRule type="expression" dxfId="236" priority="170">
      <formula>$B$302&lt;&gt;"Y"</formula>
    </cfRule>
  </conditionalFormatting>
  <conditionalFormatting sqref="D314:N314">
    <cfRule type="expression" dxfId="235" priority="175">
      <formula>$B$311&lt;&gt;"Y"</formula>
    </cfRule>
  </conditionalFormatting>
  <conditionalFormatting sqref="D323:N323">
    <cfRule type="expression" dxfId="234" priority="180">
      <formula>$B$320&lt;&gt;"Y"</formula>
    </cfRule>
  </conditionalFormatting>
  <conditionalFormatting sqref="D332:N332">
    <cfRule type="expression" dxfId="233" priority="185">
      <formula>$B$329&lt;&gt;"Y"</formula>
    </cfRule>
  </conditionalFormatting>
  <conditionalFormatting sqref="D341:N341">
    <cfRule type="expression" dxfId="232" priority="190">
      <formula>$B$338&lt;&gt;"Y"</formula>
    </cfRule>
  </conditionalFormatting>
  <conditionalFormatting sqref="D350:N350">
    <cfRule type="expression" dxfId="231" priority="195">
      <formula>$B$347&lt;&gt;"Y"</formula>
    </cfRule>
  </conditionalFormatting>
  <conditionalFormatting sqref="D359:N359">
    <cfRule type="expression" dxfId="230" priority="200">
      <formula>$B$356&lt;&gt;"Y"</formula>
    </cfRule>
  </conditionalFormatting>
  <conditionalFormatting sqref="D368:N368">
    <cfRule type="expression" dxfId="229" priority="205">
      <formula>$B$365&lt;&gt;"Y"</formula>
    </cfRule>
  </conditionalFormatting>
  <conditionalFormatting sqref="D377:N377">
    <cfRule type="expression" dxfId="228" priority="210">
      <formula>$B$374&lt;&gt;"Y"</formula>
    </cfRule>
  </conditionalFormatting>
  <conditionalFormatting sqref="D386:N386">
    <cfRule type="expression" dxfId="227" priority="215">
      <formula>$B$383&lt;&gt;"Y"</formula>
    </cfRule>
  </conditionalFormatting>
  <conditionalFormatting sqref="D395:N395">
    <cfRule type="expression" dxfId="226" priority="220">
      <formula>$B$392&lt;&gt;"Y"</formula>
    </cfRule>
  </conditionalFormatting>
  <conditionalFormatting sqref="D404:N404">
    <cfRule type="expression" dxfId="225" priority="225">
      <formula>$B$401&lt;&gt;"Y"</formula>
    </cfRule>
  </conditionalFormatting>
  <conditionalFormatting sqref="D413:N413">
    <cfRule type="expression" dxfId="224" priority="230">
      <formula>$B$410&lt;&gt;"Y"</formula>
    </cfRule>
  </conditionalFormatting>
  <conditionalFormatting sqref="D422:N422">
    <cfRule type="expression" dxfId="223" priority="235">
      <formula>$B$419&lt;&gt;"Y"</formula>
    </cfRule>
  </conditionalFormatting>
  <conditionalFormatting sqref="D431:N431">
    <cfRule type="expression" dxfId="222" priority="240">
      <formula>$B$428&lt;&gt;"Y"</formula>
    </cfRule>
  </conditionalFormatting>
  <conditionalFormatting sqref="D440:N440">
    <cfRule type="expression" dxfId="221" priority="245">
      <formula>$B$437&lt;&gt;"Y"</formula>
    </cfRule>
  </conditionalFormatting>
  <conditionalFormatting sqref="D449:N449">
    <cfRule type="expression" dxfId="220" priority="250">
      <formula>$B$446&lt;&gt;"Y"</formula>
    </cfRule>
  </conditionalFormatting>
  <conditionalFormatting sqref="D458:N458">
    <cfRule type="expression" dxfId="219" priority="255">
      <formula>$B$455&lt;&gt;"Y"</formula>
    </cfRule>
  </conditionalFormatting>
  <conditionalFormatting sqref="D467:N467">
    <cfRule type="expression" dxfId="218" priority="260">
      <formula>$B$464&lt;&gt;"Y"</formula>
    </cfRule>
  </conditionalFormatting>
  <conditionalFormatting sqref="D476:N476">
    <cfRule type="expression" dxfId="217" priority="265">
      <formula>$B$473&lt;&gt;"Y"</formula>
    </cfRule>
  </conditionalFormatting>
  <conditionalFormatting sqref="D485:N485">
    <cfRule type="expression" dxfId="216" priority="270">
      <formula>$B$482&lt;&gt;"Y"</formula>
    </cfRule>
  </conditionalFormatting>
  <conditionalFormatting sqref="D494:N494">
    <cfRule type="expression" dxfId="215" priority="275">
      <formula>$B$491&lt;&gt;"Y"</formula>
    </cfRule>
  </conditionalFormatting>
  <conditionalFormatting sqref="D503:N503">
    <cfRule type="expression" dxfId="214" priority="280">
      <formula>$B$500&lt;&gt;"Y"</formula>
    </cfRule>
  </conditionalFormatting>
  <conditionalFormatting sqref="D512:N512">
    <cfRule type="expression" dxfId="213" priority="285">
      <formula>$B$509&lt;&gt;"Y"</formula>
    </cfRule>
  </conditionalFormatting>
  <conditionalFormatting sqref="D521:N521">
    <cfRule type="expression" dxfId="212" priority="290">
      <formula>$B$518&lt;&gt;"Y"</formula>
    </cfRule>
  </conditionalFormatting>
  <conditionalFormatting sqref="D530:N530">
    <cfRule type="expression" dxfId="211" priority="295">
      <formula>$B$527&lt;&gt;"Y"</formula>
    </cfRule>
  </conditionalFormatting>
  <conditionalFormatting sqref="D539:N539">
    <cfRule type="expression" dxfId="210" priority="300">
      <formula>$B$536&lt;&gt;"Y"</formula>
    </cfRule>
  </conditionalFormatting>
  <conditionalFormatting sqref="D548:N548">
    <cfRule type="expression" dxfId="209" priority="305">
      <formula>$B$545&lt;&gt;"Y"</formula>
    </cfRule>
  </conditionalFormatting>
  <conditionalFormatting sqref="D557:N557">
    <cfRule type="expression" dxfId="208" priority="310">
      <formula>$B$554&lt;&gt;"Y"</formula>
    </cfRule>
  </conditionalFormatting>
  <conditionalFormatting sqref="D566:N566">
    <cfRule type="expression" dxfId="207" priority="315">
      <formula>$B$563&lt;&gt;"Y"</formula>
    </cfRule>
  </conditionalFormatting>
  <conditionalFormatting sqref="D575:N575">
    <cfRule type="expression" dxfId="206" priority="320">
      <formula>$B$572&lt;&gt;"Y"</formula>
    </cfRule>
  </conditionalFormatting>
  <conditionalFormatting sqref="D584:N584">
    <cfRule type="expression" dxfId="205" priority="325">
      <formula>$B$581&lt;&gt;"Y"</formula>
    </cfRule>
  </conditionalFormatting>
  <conditionalFormatting sqref="D593:N593">
    <cfRule type="expression" dxfId="204" priority="330">
      <formula>$B$590&lt;&gt;"Y"</formula>
    </cfRule>
  </conditionalFormatting>
  <conditionalFormatting sqref="D602:N602">
    <cfRule type="expression" dxfId="203" priority="335">
      <formula>$B$599&lt;&gt;"Y"</formula>
    </cfRule>
  </conditionalFormatting>
  <conditionalFormatting sqref="D611:N611">
    <cfRule type="expression" dxfId="202" priority="340">
      <formula>$B$608&lt;&gt;"Y"</formula>
    </cfRule>
  </conditionalFormatting>
  <conditionalFormatting sqref="D620:N620">
    <cfRule type="expression" dxfId="201" priority="345">
      <formula>$B$617&lt;&gt;"Y"</formula>
    </cfRule>
  </conditionalFormatting>
  <conditionalFormatting sqref="D629:N629">
    <cfRule type="expression" dxfId="200" priority="350">
      <formula>$B$626&lt;&gt;"Y"</formula>
    </cfRule>
  </conditionalFormatting>
  <conditionalFormatting sqref="D638:N638">
    <cfRule type="expression" dxfId="199" priority="355">
      <formula>$B$635&lt;&gt;"Y"</formula>
    </cfRule>
  </conditionalFormatting>
  <conditionalFormatting sqref="D647:N647">
    <cfRule type="expression" dxfId="198" priority="360">
      <formula>$B$644&lt;&gt;"Y"</formula>
    </cfRule>
  </conditionalFormatting>
  <conditionalFormatting sqref="D656:N656">
    <cfRule type="expression" dxfId="197" priority="365">
      <formula>$B$653&lt;&gt;"Y"</formula>
    </cfRule>
  </conditionalFormatting>
  <conditionalFormatting sqref="D665:N665">
    <cfRule type="expression" dxfId="196" priority="370">
      <formula>$B$662&lt;&gt;"Y"</formula>
    </cfRule>
  </conditionalFormatting>
  <conditionalFormatting sqref="D674:N674">
    <cfRule type="expression" dxfId="195" priority="375">
      <formula>$B$671&lt;&gt;"Y"</formula>
    </cfRule>
  </conditionalFormatting>
  <conditionalFormatting sqref="D683:N683">
    <cfRule type="expression" dxfId="194" priority="380">
      <formula>$B$680&lt;&gt;"Y"</formula>
    </cfRule>
  </conditionalFormatting>
  <conditionalFormatting sqref="D692:N692">
    <cfRule type="expression" dxfId="193" priority="385">
      <formula>$B$689&lt;&gt;"Y"</formula>
    </cfRule>
  </conditionalFormatting>
  <conditionalFormatting sqref="D701:N701">
    <cfRule type="expression" dxfId="192" priority="390">
      <formula>$B$698&lt;&gt;"Y"</formula>
    </cfRule>
  </conditionalFormatting>
  <conditionalFormatting sqref="D710:N710">
    <cfRule type="expression" dxfId="191" priority="395">
      <formula>$B$707&lt;&gt;"Y"</formula>
    </cfRule>
  </conditionalFormatting>
  <conditionalFormatting sqref="D719:N719">
    <cfRule type="expression" dxfId="190" priority="400">
      <formula>$B$716&lt;&gt;"Y"</formula>
    </cfRule>
  </conditionalFormatting>
  <conditionalFormatting sqref="D728:N728">
    <cfRule type="expression" dxfId="189" priority="405">
      <formula>$B$725&lt;&gt;"Y"</formula>
    </cfRule>
  </conditionalFormatting>
  <conditionalFormatting sqref="D737:N737">
    <cfRule type="expression" dxfId="188" priority="410">
      <formula>$B$734&lt;&gt;"Y"</formula>
    </cfRule>
  </conditionalFormatting>
  <conditionalFormatting sqref="D746:N746">
    <cfRule type="expression" dxfId="187" priority="415">
      <formula>$B$743&lt;&gt;"Y"</formula>
    </cfRule>
  </conditionalFormatting>
  <conditionalFormatting sqref="D755:N755">
    <cfRule type="expression" dxfId="186" priority="420">
      <formula>$B$752&lt;&gt;"Y"</formula>
    </cfRule>
  </conditionalFormatting>
  <conditionalFormatting sqref="D764:N764">
    <cfRule type="expression" dxfId="185" priority="425">
      <formula>$B$761&lt;&gt;"Y"</formula>
    </cfRule>
  </conditionalFormatting>
  <conditionalFormatting sqref="D773:N773">
    <cfRule type="expression" dxfId="184" priority="430">
      <formula>$B$770&lt;&gt;"Y"</formula>
    </cfRule>
  </conditionalFormatting>
  <conditionalFormatting sqref="D782:N782">
    <cfRule type="expression" dxfId="183" priority="435">
      <formula>$B$779&lt;&gt;"Y"</formula>
    </cfRule>
  </conditionalFormatting>
  <conditionalFormatting sqref="D791:N791">
    <cfRule type="expression" dxfId="182" priority="440">
      <formula>$B$788&lt;&gt;"Y"</formula>
    </cfRule>
  </conditionalFormatting>
  <conditionalFormatting sqref="D800:N800">
    <cfRule type="expression" dxfId="181" priority="445">
      <formula>$B$797&lt;&gt;"Y"</formula>
    </cfRule>
  </conditionalFormatting>
  <conditionalFormatting sqref="D809:N809">
    <cfRule type="expression" dxfId="180" priority="450">
      <formula>$B$806&lt;&gt;"Y"</formula>
    </cfRule>
  </conditionalFormatting>
  <conditionalFormatting sqref="G8">
    <cfRule type="expression" dxfId="179" priority="4">
      <formula>AND(COUNTIF(I8:N8,"&lt;&gt;" &amp; "")&gt;0,NOT(ISBLANK(G8)))</formula>
    </cfRule>
    <cfRule type="expression" dxfId="178" priority="3">
      <formula>COUNTIF(I8:N8,"&lt;&gt;" &amp; "")&gt;0</formula>
    </cfRule>
  </conditionalFormatting>
  <conditionalFormatting sqref="G17">
    <cfRule type="expression" dxfId="177" priority="8">
      <formula>COUNTIF(I17:N17,"&lt;&gt;" &amp; "")&gt;0</formula>
    </cfRule>
    <cfRule type="expression" dxfId="176" priority="9">
      <formula>AND(COUNTIF(I17:N17,"&lt;&gt;" &amp; "")&gt;0,NOT(ISBLANK(G17)))</formula>
    </cfRule>
  </conditionalFormatting>
  <conditionalFormatting sqref="G26">
    <cfRule type="expression" dxfId="175" priority="13">
      <formula>COUNTIF(I26:N26,"&lt;&gt;" &amp; "")&gt;0</formula>
    </cfRule>
    <cfRule type="expression" dxfId="174" priority="14">
      <formula>AND(COUNTIF(I26:N26,"&lt;&gt;" &amp; "")&gt;0,NOT(ISBLANK(G26)))</formula>
    </cfRule>
  </conditionalFormatting>
  <conditionalFormatting sqref="G35">
    <cfRule type="expression" dxfId="173" priority="18">
      <formula>COUNTIF(I35:N35,"&lt;&gt;" &amp; "")&gt;0</formula>
    </cfRule>
    <cfRule type="expression" dxfId="172" priority="19">
      <formula>AND(COUNTIF(I35:N35,"&lt;&gt;" &amp; "")&gt;0,NOT(ISBLANK(G35)))</formula>
    </cfRule>
  </conditionalFormatting>
  <conditionalFormatting sqref="G44">
    <cfRule type="expression" dxfId="171" priority="23">
      <formula>COUNTIF(I44:N44,"&lt;&gt;" &amp; "")&gt;0</formula>
    </cfRule>
    <cfRule type="expression" dxfId="170" priority="24">
      <formula>AND(COUNTIF(I44:N44,"&lt;&gt;" &amp; "")&gt;0,NOT(ISBLANK(G44)))</formula>
    </cfRule>
  </conditionalFormatting>
  <conditionalFormatting sqref="G53">
    <cfRule type="expression" dxfId="169" priority="28">
      <formula>COUNTIF(I53:N53,"&lt;&gt;" &amp; "")&gt;0</formula>
    </cfRule>
    <cfRule type="expression" dxfId="168" priority="29">
      <formula>AND(COUNTIF(I53:N53,"&lt;&gt;" &amp; "")&gt;0,NOT(ISBLANK(G53)))</formula>
    </cfRule>
  </conditionalFormatting>
  <conditionalFormatting sqref="G62">
    <cfRule type="expression" dxfId="167" priority="34">
      <formula>AND(COUNTIF(I62:N62,"&lt;&gt;" &amp; "")&gt;0,NOT(ISBLANK(G62)))</formula>
    </cfRule>
    <cfRule type="expression" dxfId="166" priority="33">
      <formula>COUNTIF(I62:N62,"&lt;&gt;" &amp; "")&gt;0</formula>
    </cfRule>
  </conditionalFormatting>
  <conditionalFormatting sqref="G71">
    <cfRule type="expression" dxfId="165" priority="38">
      <formula>COUNTIF(I71:N71,"&lt;&gt;" &amp; "")&gt;0</formula>
    </cfRule>
    <cfRule type="expression" dxfId="164" priority="39">
      <formula>AND(COUNTIF(I71:N71,"&lt;&gt;" &amp; "")&gt;0,NOT(ISBLANK(G71)))</formula>
    </cfRule>
  </conditionalFormatting>
  <conditionalFormatting sqref="G80">
    <cfRule type="expression" dxfId="163" priority="43">
      <formula>COUNTIF(I80:N80,"&lt;&gt;" &amp; "")&gt;0</formula>
    </cfRule>
    <cfRule type="expression" dxfId="162" priority="44">
      <formula>AND(COUNTIF(I80:N80,"&lt;&gt;" &amp; "")&gt;0,NOT(ISBLANK(G80)))</formula>
    </cfRule>
  </conditionalFormatting>
  <conditionalFormatting sqref="G89">
    <cfRule type="expression" dxfId="161" priority="48">
      <formula>COUNTIF(I89:N89,"&lt;&gt;" &amp; "")&gt;0</formula>
    </cfRule>
    <cfRule type="expression" dxfId="160" priority="49">
      <formula>AND(COUNTIF(I89:N89,"&lt;&gt;" &amp; "")&gt;0,NOT(ISBLANK(G89)))</formula>
    </cfRule>
  </conditionalFormatting>
  <conditionalFormatting sqref="G98">
    <cfRule type="expression" dxfId="159" priority="53">
      <formula>COUNTIF(I98:N98,"&lt;&gt;" &amp; "")&gt;0</formula>
    </cfRule>
    <cfRule type="expression" dxfId="158" priority="54">
      <formula>AND(COUNTIF(I98:N98,"&lt;&gt;" &amp; "")&gt;0,NOT(ISBLANK(G98)))</formula>
    </cfRule>
  </conditionalFormatting>
  <conditionalFormatting sqref="G107">
    <cfRule type="expression" dxfId="157" priority="58">
      <formula>COUNTIF(I107:N107,"&lt;&gt;" &amp; "")&gt;0</formula>
    </cfRule>
    <cfRule type="expression" dxfId="156" priority="59">
      <formula>AND(COUNTIF(I107:N107,"&lt;&gt;" &amp; "")&gt;0,NOT(ISBLANK(G107)))</formula>
    </cfRule>
  </conditionalFormatting>
  <conditionalFormatting sqref="G116">
    <cfRule type="expression" dxfId="155" priority="63">
      <formula>COUNTIF(I116:N116,"&lt;&gt;" &amp; "")&gt;0</formula>
    </cfRule>
    <cfRule type="expression" dxfId="154" priority="64">
      <formula>AND(COUNTIF(I116:N116,"&lt;&gt;" &amp; "")&gt;0,NOT(ISBLANK(G116)))</formula>
    </cfRule>
  </conditionalFormatting>
  <conditionalFormatting sqref="G125">
    <cfRule type="expression" dxfId="153" priority="69">
      <formula>AND(COUNTIF(I125:N125,"&lt;&gt;" &amp; "")&gt;0,NOT(ISBLANK(G125)))</formula>
    </cfRule>
    <cfRule type="expression" dxfId="152" priority="68">
      <formula>COUNTIF(I125:N125,"&lt;&gt;" &amp; "")&gt;0</formula>
    </cfRule>
  </conditionalFormatting>
  <conditionalFormatting sqref="G134">
    <cfRule type="expression" dxfId="151" priority="74">
      <formula>AND(COUNTIF(I134:N134,"&lt;&gt;" &amp; "")&gt;0,NOT(ISBLANK(G134)))</formula>
    </cfRule>
    <cfRule type="expression" dxfId="150" priority="73">
      <formula>COUNTIF(I134:N134,"&lt;&gt;" &amp; "")&gt;0</formula>
    </cfRule>
  </conditionalFormatting>
  <conditionalFormatting sqref="G143">
    <cfRule type="expression" dxfId="149" priority="78">
      <formula>COUNTIF(I143:N143,"&lt;&gt;" &amp; "")&gt;0</formula>
    </cfRule>
    <cfRule type="expression" dxfId="148" priority="79">
      <formula>AND(COUNTIF(I143:N143,"&lt;&gt;" &amp; "")&gt;0,NOT(ISBLANK(G143)))</formula>
    </cfRule>
  </conditionalFormatting>
  <conditionalFormatting sqref="G152">
    <cfRule type="expression" dxfId="147" priority="83">
      <formula>COUNTIF(I152:N152,"&lt;&gt;" &amp; "")&gt;0</formula>
    </cfRule>
    <cfRule type="expression" dxfId="146" priority="84">
      <formula>AND(COUNTIF(I152:N152,"&lt;&gt;" &amp; "")&gt;0,NOT(ISBLANK(G152)))</formula>
    </cfRule>
  </conditionalFormatting>
  <conditionalFormatting sqref="G161">
    <cfRule type="expression" dxfId="145" priority="88">
      <formula>COUNTIF(I161:N161,"&lt;&gt;" &amp; "")&gt;0</formula>
    </cfRule>
    <cfRule type="expression" dxfId="144" priority="89">
      <formula>AND(COUNTIF(I161:N161,"&lt;&gt;" &amp; "")&gt;0,NOT(ISBLANK(G161)))</formula>
    </cfRule>
  </conditionalFormatting>
  <conditionalFormatting sqref="G170">
    <cfRule type="expression" dxfId="143" priority="93">
      <formula>COUNTIF(I170:N170,"&lt;&gt;" &amp; "")&gt;0</formula>
    </cfRule>
    <cfRule type="expression" dxfId="142" priority="94">
      <formula>AND(COUNTIF(I170:N170,"&lt;&gt;" &amp; "")&gt;0,NOT(ISBLANK(G170)))</formula>
    </cfRule>
  </conditionalFormatting>
  <conditionalFormatting sqref="G179">
    <cfRule type="expression" dxfId="141" priority="98">
      <formula>COUNTIF(I179:N179,"&lt;&gt;" &amp; "")&gt;0</formula>
    </cfRule>
    <cfRule type="expression" dxfId="140" priority="99">
      <formula>AND(COUNTIF(I179:N179,"&lt;&gt;" &amp; "")&gt;0,NOT(ISBLANK(G179)))</formula>
    </cfRule>
  </conditionalFormatting>
  <conditionalFormatting sqref="G188">
    <cfRule type="expression" dxfId="139" priority="103">
      <formula>COUNTIF(I188:N188,"&lt;&gt;" &amp; "")&gt;0</formula>
    </cfRule>
    <cfRule type="expression" dxfId="138" priority="104">
      <formula>AND(COUNTIF(I188:N188,"&lt;&gt;" &amp; "")&gt;0,NOT(ISBLANK(G188)))</formula>
    </cfRule>
  </conditionalFormatting>
  <conditionalFormatting sqref="G197">
    <cfRule type="expression" dxfId="137" priority="109">
      <formula>AND(COUNTIF(I197:N197,"&lt;&gt;" &amp; "")&gt;0,NOT(ISBLANK(G197)))</formula>
    </cfRule>
    <cfRule type="expression" dxfId="136" priority="108">
      <formula>COUNTIF(I197:N197,"&lt;&gt;" &amp; "")&gt;0</formula>
    </cfRule>
  </conditionalFormatting>
  <conditionalFormatting sqref="G206">
    <cfRule type="expression" dxfId="135" priority="114">
      <formula>AND(COUNTIF(I206:N206,"&lt;&gt;" &amp; "")&gt;0,NOT(ISBLANK(G206)))</formula>
    </cfRule>
    <cfRule type="expression" dxfId="134" priority="113">
      <formula>COUNTIF(I206:N206,"&lt;&gt;" &amp; "")&gt;0</formula>
    </cfRule>
  </conditionalFormatting>
  <conditionalFormatting sqref="G215">
    <cfRule type="expression" dxfId="133" priority="118">
      <formula>COUNTIF(I215:N215,"&lt;&gt;" &amp; "")&gt;0</formula>
    </cfRule>
    <cfRule type="expression" dxfId="132" priority="119">
      <formula>AND(COUNTIF(I215:N215,"&lt;&gt;" &amp; "")&gt;0,NOT(ISBLANK(G215)))</formula>
    </cfRule>
  </conditionalFormatting>
  <conditionalFormatting sqref="G224">
    <cfRule type="expression" dxfId="131" priority="123">
      <formula>COUNTIF(I224:N224,"&lt;&gt;" &amp; "")&gt;0</formula>
    </cfRule>
    <cfRule type="expression" dxfId="130" priority="124">
      <formula>AND(COUNTIF(I224:N224,"&lt;&gt;" &amp; "")&gt;0,NOT(ISBLANK(G224)))</formula>
    </cfRule>
  </conditionalFormatting>
  <conditionalFormatting sqref="G233">
    <cfRule type="expression" dxfId="129" priority="128">
      <formula>COUNTIF(I233:N233,"&lt;&gt;" &amp; "")&gt;0</formula>
    </cfRule>
    <cfRule type="expression" dxfId="128" priority="129">
      <formula>AND(COUNTIF(I233:N233,"&lt;&gt;" &amp; "")&gt;0,NOT(ISBLANK(G233)))</formula>
    </cfRule>
  </conditionalFormatting>
  <conditionalFormatting sqref="G242">
    <cfRule type="expression" dxfId="127" priority="133">
      <formula>COUNTIF(I242:N242,"&lt;&gt;" &amp; "")&gt;0</formula>
    </cfRule>
    <cfRule type="expression" dxfId="126" priority="134">
      <formula>AND(COUNTIF(I242:N242,"&lt;&gt;" &amp; "")&gt;0,NOT(ISBLANK(G242)))</formula>
    </cfRule>
  </conditionalFormatting>
  <conditionalFormatting sqref="G251">
    <cfRule type="expression" dxfId="125" priority="139">
      <formula>AND(COUNTIF(I251:N251,"&lt;&gt;" &amp; "")&gt;0,NOT(ISBLANK(G251)))</formula>
    </cfRule>
    <cfRule type="expression" dxfId="124" priority="138">
      <formula>COUNTIF(I251:N251,"&lt;&gt;" &amp; "")&gt;0</formula>
    </cfRule>
  </conditionalFormatting>
  <conditionalFormatting sqref="G260">
    <cfRule type="expression" dxfId="123" priority="144">
      <formula>AND(COUNTIF(I260:N260,"&lt;&gt;" &amp; "")&gt;0,NOT(ISBLANK(G260)))</formula>
    </cfRule>
    <cfRule type="expression" dxfId="122" priority="143">
      <formula>COUNTIF(I260:N260,"&lt;&gt;" &amp; "")&gt;0</formula>
    </cfRule>
  </conditionalFormatting>
  <conditionalFormatting sqref="G269">
    <cfRule type="expression" dxfId="121" priority="149">
      <formula>AND(COUNTIF(I269:N269,"&lt;&gt;" &amp; "")&gt;0,NOT(ISBLANK(G269)))</formula>
    </cfRule>
    <cfRule type="expression" dxfId="120" priority="148">
      <formula>COUNTIF(I269:N269,"&lt;&gt;" &amp; "")&gt;0</formula>
    </cfRule>
  </conditionalFormatting>
  <conditionalFormatting sqref="G278">
    <cfRule type="expression" dxfId="119" priority="153">
      <formula>COUNTIF(I278:N278,"&lt;&gt;" &amp; "")&gt;0</formula>
    </cfRule>
    <cfRule type="expression" dxfId="118" priority="154">
      <formula>AND(COUNTIF(I278:N278,"&lt;&gt;" &amp; "")&gt;0,NOT(ISBLANK(G278)))</formula>
    </cfRule>
  </conditionalFormatting>
  <conditionalFormatting sqref="G287">
    <cfRule type="expression" dxfId="117" priority="159">
      <formula>AND(COUNTIF(I287:N287,"&lt;&gt;" &amp; "")&gt;0,NOT(ISBLANK(G287)))</formula>
    </cfRule>
    <cfRule type="expression" dxfId="116" priority="158">
      <formula>COUNTIF(I287:N287,"&lt;&gt;" &amp; "")&gt;0</formula>
    </cfRule>
  </conditionalFormatting>
  <conditionalFormatting sqref="G296">
    <cfRule type="expression" dxfId="115" priority="163">
      <formula>COUNTIF(I296:N296,"&lt;&gt;" &amp; "")&gt;0</formula>
    </cfRule>
    <cfRule type="expression" dxfId="114" priority="164">
      <formula>AND(COUNTIF(I296:N296,"&lt;&gt;" &amp; "")&gt;0,NOT(ISBLANK(G296)))</formula>
    </cfRule>
  </conditionalFormatting>
  <conditionalFormatting sqref="G305">
    <cfRule type="expression" dxfId="113" priority="168">
      <formula>COUNTIF(I305:N305,"&lt;&gt;" &amp; "")&gt;0</formula>
    </cfRule>
    <cfRule type="expression" dxfId="112" priority="169">
      <formula>AND(COUNTIF(I305:N305,"&lt;&gt;" &amp; "")&gt;0,NOT(ISBLANK(G305)))</formula>
    </cfRule>
  </conditionalFormatting>
  <conditionalFormatting sqref="G314">
    <cfRule type="expression" dxfId="111" priority="173">
      <formula>COUNTIF(I314:N314,"&lt;&gt;" &amp; "")&gt;0</formula>
    </cfRule>
    <cfRule type="expression" dxfId="110" priority="174">
      <formula>AND(COUNTIF(I314:N314,"&lt;&gt;" &amp; "")&gt;0,NOT(ISBLANK(G314)))</formula>
    </cfRule>
  </conditionalFormatting>
  <conditionalFormatting sqref="G323">
    <cfRule type="expression" dxfId="109" priority="179">
      <formula>AND(COUNTIF(I323:N323,"&lt;&gt;" &amp; "")&gt;0,NOT(ISBLANK(G323)))</formula>
    </cfRule>
    <cfRule type="expression" dxfId="108" priority="178">
      <formula>COUNTIF(I323:N323,"&lt;&gt;" &amp; "")&gt;0</formula>
    </cfRule>
  </conditionalFormatting>
  <conditionalFormatting sqref="G332">
    <cfRule type="expression" dxfId="107" priority="183">
      <formula>COUNTIF(I332:N332,"&lt;&gt;" &amp; "")&gt;0</formula>
    </cfRule>
    <cfRule type="expression" dxfId="106" priority="184">
      <formula>AND(COUNTIF(I332:N332,"&lt;&gt;" &amp; "")&gt;0,NOT(ISBLANK(G332)))</formula>
    </cfRule>
  </conditionalFormatting>
  <conditionalFormatting sqref="G341">
    <cfRule type="expression" dxfId="105" priority="189">
      <formula>AND(COUNTIF(I341:N341,"&lt;&gt;" &amp; "")&gt;0,NOT(ISBLANK(G341)))</formula>
    </cfRule>
    <cfRule type="expression" dxfId="104" priority="188">
      <formula>COUNTIF(I341:N341,"&lt;&gt;" &amp; "")&gt;0</formula>
    </cfRule>
  </conditionalFormatting>
  <conditionalFormatting sqref="G350">
    <cfRule type="expression" dxfId="103" priority="193">
      <formula>COUNTIF(I350:N350,"&lt;&gt;" &amp; "")&gt;0</formula>
    </cfRule>
    <cfRule type="expression" dxfId="102" priority="194">
      <formula>AND(COUNTIF(I350:N350,"&lt;&gt;" &amp; "")&gt;0,NOT(ISBLANK(G350)))</formula>
    </cfRule>
  </conditionalFormatting>
  <conditionalFormatting sqref="G359">
    <cfRule type="expression" dxfId="101" priority="198">
      <formula>COUNTIF(I359:N359,"&lt;&gt;" &amp; "")&gt;0</formula>
    </cfRule>
    <cfRule type="expression" dxfId="100" priority="199">
      <formula>AND(COUNTIF(I359:N359,"&lt;&gt;" &amp; "")&gt;0,NOT(ISBLANK(G359)))</formula>
    </cfRule>
  </conditionalFormatting>
  <conditionalFormatting sqref="G368">
    <cfRule type="expression" dxfId="99" priority="203">
      <formula>COUNTIF(I368:N368,"&lt;&gt;" &amp; "")&gt;0</formula>
    </cfRule>
    <cfRule type="expression" dxfId="98" priority="204">
      <formula>AND(COUNTIF(I368:N368,"&lt;&gt;" &amp; "")&gt;0,NOT(ISBLANK(G368)))</formula>
    </cfRule>
  </conditionalFormatting>
  <conditionalFormatting sqref="G377">
    <cfRule type="expression" dxfId="97" priority="209">
      <formula>AND(COUNTIF(I377:N377,"&lt;&gt;" &amp; "")&gt;0,NOT(ISBLANK(G377)))</formula>
    </cfRule>
    <cfRule type="expression" dxfId="96" priority="208">
      <formula>COUNTIF(I377:N377,"&lt;&gt;" &amp; "")&gt;0</formula>
    </cfRule>
  </conditionalFormatting>
  <conditionalFormatting sqref="G386">
    <cfRule type="expression" dxfId="95" priority="213">
      <formula>COUNTIF(I386:N386,"&lt;&gt;" &amp; "")&gt;0</formula>
    </cfRule>
    <cfRule type="expression" dxfId="94" priority="214">
      <formula>AND(COUNTIF(I386:N386,"&lt;&gt;" &amp; "")&gt;0,NOT(ISBLANK(G386)))</formula>
    </cfRule>
  </conditionalFormatting>
  <conditionalFormatting sqref="G395">
    <cfRule type="expression" dxfId="93" priority="218">
      <formula>COUNTIF(I395:N395,"&lt;&gt;" &amp; "")&gt;0</formula>
    </cfRule>
    <cfRule type="expression" dxfId="92" priority="219">
      <formula>AND(COUNTIF(I395:N395,"&lt;&gt;" &amp; "")&gt;0,NOT(ISBLANK(G395)))</formula>
    </cfRule>
  </conditionalFormatting>
  <conditionalFormatting sqref="G404">
    <cfRule type="expression" dxfId="91" priority="224">
      <formula>AND(COUNTIF(I404:N404,"&lt;&gt;" &amp; "")&gt;0,NOT(ISBLANK(G404)))</formula>
    </cfRule>
    <cfRule type="expression" dxfId="90" priority="223">
      <formula>COUNTIF(I404:N404,"&lt;&gt;" &amp; "")&gt;0</formula>
    </cfRule>
  </conditionalFormatting>
  <conditionalFormatting sqref="G413">
    <cfRule type="expression" dxfId="89" priority="228">
      <formula>COUNTIF(I413:N413,"&lt;&gt;" &amp; "")&gt;0</formula>
    </cfRule>
    <cfRule type="expression" dxfId="88" priority="229">
      <formula>AND(COUNTIF(I413:N413,"&lt;&gt;" &amp; "")&gt;0,NOT(ISBLANK(G413)))</formula>
    </cfRule>
  </conditionalFormatting>
  <conditionalFormatting sqref="G422">
    <cfRule type="expression" dxfId="87" priority="233">
      <formula>COUNTIF(I422:N422,"&lt;&gt;" &amp; "")&gt;0</formula>
    </cfRule>
    <cfRule type="expression" dxfId="86" priority="234">
      <formula>AND(COUNTIF(I422:N422,"&lt;&gt;" &amp; "")&gt;0,NOT(ISBLANK(G422)))</formula>
    </cfRule>
  </conditionalFormatting>
  <conditionalFormatting sqref="G431">
    <cfRule type="expression" dxfId="85" priority="239">
      <formula>AND(COUNTIF(I431:N431,"&lt;&gt;" &amp; "")&gt;0,NOT(ISBLANK(G431)))</formula>
    </cfRule>
    <cfRule type="expression" dxfId="84" priority="238">
      <formula>COUNTIF(I431:N431,"&lt;&gt;" &amp; "")&gt;0</formula>
    </cfRule>
  </conditionalFormatting>
  <conditionalFormatting sqref="G440">
    <cfRule type="expression" dxfId="83" priority="244">
      <formula>AND(COUNTIF(I440:N440,"&lt;&gt;" &amp; "")&gt;0,NOT(ISBLANK(G440)))</formula>
    </cfRule>
    <cfRule type="expression" dxfId="82" priority="243">
      <formula>COUNTIF(I440:N440,"&lt;&gt;" &amp; "")&gt;0</formula>
    </cfRule>
  </conditionalFormatting>
  <conditionalFormatting sqref="G449">
    <cfRule type="expression" dxfId="81" priority="249">
      <formula>AND(COUNTIF(I449:N449,"&lt;&gt;" &amp; "")&gt;0,NOT(ISBLANK(G449)))</formula>
    </cfRule>
    <cfRule type="expression" dxfId="80" priority="248">
      <formula>COUNTIF(I449:N449,"&lt;&gt;" &amp; "")&gt;0</formula>
    </cfRule>
  </conditionalFormatting>
  <conditionalFormatting sqref="G458">
    <cfRule type="expression" dxfId="79" priority="254">
      <formula>AND(COUNTIF(I458:N458,"&lt;&gt;" &amp; "")&gt;0,NOT(ISBLANK(G458)))</formula>
    </cfRule>
    <cfRule type="expression" dxfId="78" priority="253">
      <formula>COUNTIF(I458:N458,"&lt;&gt;" &amp; "")&gt;0</formula>
    </cfRule>
  </conditionalFormatting>
  <conditionalFormatting sqref="G467">
    <cfRule type="expression" dxfId="77" priority="258">
      <formula>COUNTIF(I467:N467,"&lt;&gt;" &amp; "")&gt;0</formula>
    </cfRule>
    <cfRule type="expression" dxfId="76" priority="259">
      <formula>AND(COUNTIF(I467:N467,"&lt;&gt;" &amp; "")&gt;0,NOT(ISBLANK(G467)))</formula>
    </cfRule>
  </conditionalFormatting>
  <conditionalFormatting sqref="G476">
    <cfRule type="expression" dxfId="75" priority="264">
      <formula>AND(COUNTIF(I476:N476,"&lt;&gt;" &amp; "")&gt;0,NOT(ISBLANK(G476)))</formula>
    </cfRule>
    <cfRule type="expression" dxfId="74" priority="263">
      <formula>COUNTIF(I476:N476,"&lt;&gt;" &amp; "")&gt;0</formula>
    </cfRule>
  </conditionalFormatting>
  <conditionalFormatting sqref="G485">
    <cfRule type="expression" dxfId="73" priority="268">
      <formula>COUNTIF(I485:N485,"&lt;&gt;" &amp; "")&gt;0</formula>
    </cfRule>
    <cfRule type="expression" dxfId="72" priority="269">
      <formula>AND(COUNTIF(I485:N485,"&lt;&gt;" &amp; "")&gt;0,NOT(ISBLANK(G485)))</formula>
    </cfRule>
  </conditionalFormatting>
  <conditionalFormatting sqref="G494">
    <cfRule type="expression" dxfId="71" priority="273">
      <formula>COUNTIF(I494:N494,"&lt;&gt;" &amp; "")&gt;0</formula>
    </cfRule>
    <cfRule type="expression" dxfId="70" priority="274">
      <formula>AND(COUNTIF(I494:N494,"&lt;&gt;" &amp; "")&gt;0,NOT(ISBLANK(G494)))</formula>
    </cfRule>
  </conditionalFormatting>
  <conditionalFormatting sqref="G503">
    <cfRule type="expression" dxfId="69" priority="279">
      <formula>AND(COUNTIF(I503:N503,"&lt;&gt;" &amp; "")&gt;0,NOT(ISBLANK(G503)))</formula>
    </cfRule>
    <cfRule type="expression" dxfId="68" priority="278">
      <formula>COUNTIF(I503:N503,"&lt;&gt;" &amp; "")&gt;0</formula>
    </cfRule>
  </conditionalFormatting>
  <conditionalFormatting sqref="G512">
    <cfRule type="expression" dxfId="67" priority="283">
      <formula>COUNTIF(I512:N512,"&lt;&gt;" &amp; "")&gt;0</formula>
    </cfRule>
    <cfRule type="expression" dxfId="66" priority="284">
      <formula>AND(COUNTIF(I512:N512,"&lt;&gt;" &amp; "")&gt;0,NOT(ISBLANK(G512)))</formula>
    </cfRule>
  </conditionalFormatting>
  <conditionalFormatting sqref="G521">
    <cfRule type="expression" dxfId="65" priority="288">
      <formula>COUNTIF(I521:N521,"&lt;&gt;" &amp; "")&gt;0</formula>
    </cfRule>
    <cfRule type="expression" dxfId="64" priority="289">
      <formula>AND(COUNTIF(I521:N521,"&lt;&gt;" &amp; "")&gt;0,NOT(ISBLANK(G521)))</formula>
    </cfRule>
  </conditionalFormatting>
  <conditionalFormatting sqref="G530">
    <cfRule type="expression" dxfId="63" priority="294">
      <formula>AND(COUNTIF(I530:N530,"&lt;&gt;" &amp; "")&gt;0,NOT(ISBLANK(G530)))</formula>
    </cfRule>
    <cfRule type="expression" dxfId="62" priority="293">
      <formula>COUNTIF(I530:N530,"&lt;&gt;" &amp; "")&gt;0</formula>
    </cfRule>
  </conditionalFormatting>
  <conditionalFormatting sqref="G539">
    <cfRule type="expression" dxfId="61" priority="299">
      <formula>AND(COUNTIF(I539:N539,"&lt;&gt;" &amp; "")&gt;0,NOT(ISBLANK(G539)))</formula>
    </cfRule>
    <cfRule type="expression" dxfId="60" priority="298">
      <formula>COUNTIF(I539:N539,"&lt;&gt;" &amp; "")&gt;0</formula>
    </cfRule>
  </conditionalFormatting>
  <conditionalFormatting sqref="G548">
    <cfRule type="expression" dxfId="59" priority="304">
      <formula>AND(COUNTIF(I548:N548,"&lt;&gt;" &amp; "")&gt;0,NOT(ISBLANK(G548)))</formula>
    </cfRule>
    <cfRule type="expression" dxfId="58" priority="303">
      <formula>COUNTIF(I548:N548,"&lt;&gt;" &amp; "")&gt;0</formula>
    </cfRule>
  </conditionalFormatting>
  <conditionalFormatting sqref="G557">
    <cfRule type="expression" dxfId="57" priority="308">
      <formula>COUNTIF(I557:N557,"&lt;&gt;" &amp; "")&gt;0</formula>
    </cfRule>
    <cfRule type="expression" dxfId="56" priority="309">
      <formula>AND(COUNTIF(I557:N557,"&lt;&gt;" &amp; "")&gt;0,NOT(ISBLANK(G557)))</formula>
    </cfRule>
  </conditionalFormatting>
  <conditionalFormatting sqref="G566">
    <cfRule type="expression" dxfId="55" priority="313">
      <formula>COUNTIF(I566:N566,"&lt;&gt;" &amp; "")&gt;0</formula>
    </cfRule>
    <cfRule type="expression" dxfId="54" priority="314">
      <formula>AND(COUNTIF(I566:N566,"&lt;&gt;" &amp; "")&gt;0,NOT(ISBLANK(G566)))</formula>
    </cfRule>
  </conditionalFormatting>
  <conditionalFormatting sqref="G575">
    <cfRule type="expression" dxfId="53" priority="318">
      <formula>COUNTIF(I575:N575,"&lt;&gt;" &amp; "")&gt;0</formula>
    </cfRule>
    <cfRule type="expression" dxfId="52" priority="319">
      <formula>AND(COUNTIF(I575:N575,"&lt;&gt;" &amp; "")&gt;0,NOT(ISBLANK(G575)))</formula>
    </cfRule>
  </conditionalFormatting>
  <conditionalFormatting sqref="G584">
    <cfRule type="expression" dxfId="51" priority="323">
      <formula>COUNTIF(I584:N584,"&lt;&gt;" &amp; "")&gt;0</formula>
    </cfRule>
    <cfRule type="expression" dxfId="50" priority="324">
      <formula>AND(COUNTIF(I584:N584,"&lt;&gt;" &amp; "")&gt;0,NOT(ISBLANK(G584)))</formula>
    </cfRule>
  </conditionalFormatting>
  <conditionalFormatting sqref="G593">
    <cfRule type="expression" dxfId="49" priority="328">
      <formula>COUNTIF(I593:N593,"&lt;&gt;" &amp; "")&gt;0</formula>
    </cfRule>
    <cfRule type="expression" dxfId="48" priority="329">
      <formula>AND(COUNTIF(I593:N593,"&lt;&gt;" &amp; "")&gt;0,NOT(ISBLANK(G593)))</formula>
    </cfRule>
  </conditionalFormatting>
  <conditionalFormatting sqref="G602">
    <cfRule type="expression" dxfId="47" priority="334">
      <formula>AND(COUNTIF(I602:N602,"&lt;&gt;" &amp; "")&gt;0,NOT(ISBLANK(G602)))</formula>
    </cfRule>
    <cfRule type="expression" dxfId="46" priority="333">
      <formula>COUNTIF(I602:N602,"&lt;&gt;" &amp; "")&gt;0</formula>
    </cfRule>
  </conditionalFormatting>
  <conditionalFormatting sqref="G611">
    <cfRule type="expression" dxfId="45" priority="338">
      <formula>COUNTIF(I611:N611,"&lt;&gt;" &amp; "")&gt;0</formula>
    </cfRule>
    <cfRule type="expression" dxfId="44" priority="339">
      <formula>AND(COUNTIF(I611:N611,"&lt;&gt;" &amp; "")&gt;0,NOT(ISBLANK(G611)))</formula>
    </cfRule>
  </conditionalFormatting>
  <conditionalFormatting sqref="G620">
    <cfRule type="expression" dxfId="43" priority="343">
      <formula>COUNTIF(I620:N620,"&lt;&gt;" &amp; "")&gt;0</formula>
    </cfRule>
    <cfRule type="expression" dxfId="42" priority="344">
      <formula>AND(COUNTIF(I620:N620,"&lt;&gt;" &amp; "")&gt;0,NOT(ISBLANK(G620)))</formula>
    </cfRule>
  </conditionalFormatting>
  <conditionalFormatting sqref="G629">
    <cfRule type="expression" dxfId="41" priority="349">
      <formula>AND(COUNTIF(I629:N629,"&lt;&gt;" &amp; "")&gt;0,NOT(ISBLANK(G629)))</formula>
    </cfRule>
    <cfRule type="expression" dxfId="40" priority="348">
      <formula>COUNTIF(I629:N629,"&lt;&gt;" &amp; "")&gt;0</formula>
    </cfRule>
  </conditionalFormatting>
  <conditionalFormatting sqref="G638">
    <cfRule type="expression" dxfId="39" priority="354">
      <formula>AND(COUNTIF(I638:N638,"&lt;&gt;" &amp; "")&gt;0,NOT(ISBLANK(G638)))</formula>
    </cfRule>
    <cfRule type="expression" dxfId="38" priority="353">
      <formula>COUNTIF(I638:N638,"&lt;&gt;" &amp; "")&gt;0</formula>
    </cfRule>
  </conditionalFormatting>
  <conditionalFormatting sqref="G647">
    <cfRule type="expression" dxfId="37" priority="358">
      <formula>COUNTIF(I647:N647,"&lt;&gt;" &amp; "")&gt;0</formula>
    </cfRule>
    <cfRule type="expression" dxfId="36" priority="359">
      <formula>AND(COUNTIF(I647:N647,"&lt;&gt;" &amp; "")&gt;0,NOT(ISBLANK(G647)))</formula>
    </cfRule>
  </conditionalFormatting>
  <conditionalFormatting sqref="G656">
    <cfRule type="expression" dxfId="35" priority="363">
      <formula>COUNTIF(I656:N656,"&lt;&gt;" &amp; "")&gt;0</formula>
    </cfRule>
    <cfRule type="expression" dxfId="34" priority="364">
      <formula>AND(COUNTIF(I656:N656,"&lt;&gt;" &amp; "")&gt;0,NOT(ISBLANK(G656)))</formula>
    </cfRule>
  </conditionalFormatting>
  <conditionalFormatting sqref="G665">
    <cfRule type="expression" dxfId="33" priority="368">
      <formula>COUNTIF(I665:N665,"&lt;&gt;" &amp; "")&gt;0</formula>
    </cfRule>
    <cfRule type="expression" dxfId="32" priority="369">
      <formula>AND(COUNTIF(I665:N665,"&lt;&gt;" &amp; "")&gt;0,NOT(ISBLANK(G665)))</formula>
    </cfRule>
  </conditionalFormatting>
  <conditionalFormatting sqref="G674">
    <cfRule type="expression" dxfId="31" priority="373">
      <formula>COUNTIF(I674:N674,"&lt;&gt;" &amp; "")&gt;0</formula>
    </cfRule>
    <cfRule type="expression" dxfId="30" priority="374">
      <formula>AND(COUNTIF(I674:N674,"&lt;&gt;" &amp; "")&gt;0,NOT(ISBLANK(G674)))</formula>
    </cfRule>
  </conditionalFormatting>
  <conditionalFormatting sqref="G683">
    <cfRule type="expression" dxfId="29" priority="379">
      <formula>AND(COUNTIF(I683:N683,"&lt;&gt;" &amp; "")&gt;0,NOT(ISBLANK(G683)))</formula>
    </cfRule>
    <cfRule type="expression" dxfId="28" priority="378">
      <formula>COUNTIF(I683:N683,"&lt;&gt;" &amp; "")&gt;0</formula>
    </cfRule>
  </conditionalFormatting>
  <conditionalFormatting sqref="G692">
    <cfRule type="expression" dxfId="27" priority="384">
      <formula>AND(COUNTIF(I692:N692,"&lt;&gt;" &amp; "")&gt;0,NOT(ISBLANK(G692)))</formula>
    </cfRule>
    <cfRule type="expression" dxfId="26" priority="383">
      <formula>COUNTIF(I692:N692,"&lt;&gt;" &amp; "")&gt;0</formula>
    </cfRule>
  </conditionalFormatting>
  <conditionalFormatting sqref="G701">
    <cfRule type="expression" dxfId="25" priority="388">
      <formula>COUNTIF(I701:N701,"&lt;&gt;" &amp; "")&gt;0</formula>
    </cfRule>
    <cfRule type="expression" dxfId="24" priority="389">
      <formula>AND(COUNTIF(I701:N701,"&lt;&gt;" &amp; "")&gt;0,NOT(ISBLANK(G701)))</formula>
    </cfRule>
  </conditionalFormatting>
  <conditionalFormatting sqref="G710">
    <cfRule type="expression" dxfId="23" priority="394">
      <formula>AND(COUNTIF(I710:N710,"&lt;&gt;" &amp; "")&gt;0,NOT(ISBLANK(G710)))</formula>
    </cfRule>
    <cfRule type="expression" dxfId="22" priority="393">
      <formula>COUNTIF(I710:N710,"&lt;&gt;" &amp; "")&gt;0</formula>
    </cfRule>
  </conditionalFormatting>
  <conditionalFormatting sqref="G719">
    <cfRule type="expression" dxfId="21" priority="398">
      <formula>COUNTIF(I719:N719,"&lt;&gt;" &amp; "")&gt;0</formula>
    </cfRule>
    <cfRule type="expression" dxfId="20" priority="399">
      <formula>AND(COUNTIF(I719:N719,"&lt;&gt;" &amp; "")&gt;0,NOT(ISBLANK(G719)))</formula>
    </cfRule>
  </conditionalFormatting>
  <conditionalFormatting sqref="G728">
    <cfRule type="expression" dxfId="19" priority="403">
      <formula>COUNTIF(I728:N728,"&lt;&gt;" &amp; "")&gt;0</formula>
    </cfRule>
    <cfRule type="expression" dxfId="18" priority="404">
      <formula>AND(COUNTIF(I728:N728,"&lt;&gt;" &amp; "")&gt;0,NOT(ISBLANK(G728)))</formula>
    </cfRule>
  </conditionalFormatting>
  <conditionalFormatting sqref="G737">
    <cfRule type="expression" dxfId="17" priority="409">
      <formula>AND(COUNTIF(I737:N737,"&lt;&gt;" &amp; "")&gt;0,NOT(ISBLANK(G737)))</formula>
    </cfRule>
    <cfRule type="expression" dxfId="16" priority="408">
      <formula>COUNTIF(I737:N737,"&lt;&gt;" &amp; "")&gt;0</formula>
    </cfRule>
  </conditionalFormatting>
  <conditionalFormatting sqref="G746">
    <cfRule type="expression" dxfId="15" priority="414">
      <formula>AND(COUNTIF(I746:N746,"&lt;&gt;" &amp; "")&gt;0,NOT(ISBLANK(G746)))</formula>
    </cfRule>
    <cfRule type="expression" dxfId="14" priority="413">
      <formula>COUNTIF(I746:N746,"&lt;&gt;" &amp; "")&gt;0</formula>
    </cfRule>
  </conditionalFormatting>
  <conditionalFormatting sqref="G755">
    <cfRule type="expression" dxfId="13" priority="419">
      <formula>AND(COUNTIF(I755:N755,"&lt;&gt;" &amp; "")&gt;0,NOT(ISBLANK(G755)))</formula>
    </cfRule>
    <cfRule type="expression" dxfId="12" priority="418">
      <formula>COUNTIF(I755:N755,"&lt;&gt;" &amp; "")&gt;0</formula>
    </cfRule>
  </conditionalFormatting>
  <conditionalFormatting sqref="G764">
    <cfRule type="expression" dxfId="11" priority="424">
      <formula>AND(COUNTIF(I764:N764,"&lt;&gt;" &amp; "")&gt;0,NOT(ISBLANK(G764)))</formula>
    </cfRule>
    <cfRule type="expression" dxfId="10" priority="423">
      <formula>COUNTIF(I764:N764,"&lt;&gt;" &amp; "")&gt;0</formula>
    </cfRule>
  </conditionalFormatting>
  <conditionalFormatting sqref="G773">
    <cfRule type="expression" dxfId="9" priority="428">
      <formula>COUNTIF(I773:N773,"&lt;&gt;" &amp; "")&gt;0</formula>
    </cfRule>
    <cfRule type="expression" dxfId="8" priority="429">
      <formula>AND(COUNTIF(I773:N773,"&lt;&gt;" &amp; "")&gt;0,NOT(ISBLANK(G773)))</formula>
    </cfRule>
  </conditionalFormatting>
  <conditionalFormatting sqref="G782">
    <cfRule type="expression" dxfId="7" priority="433">
      <formula>COUNTIF(I782:N782,"&lt;&gt;" &amp; "")&gt;0</formula>
    </cfRule>
    <cfRule type="expression" dxfId="6" priority="434">
      <formula>AND(COUNTIF(I782:N782,"&lt;&gt;" &amp; "")&gt;0,NOT(ISBLANK(G782)))</formula>
    </cfRule>
  </conditionalFormatting>
  <conditionalFormatting sqref="G791">
    <cfRule type="expression" dxfId="5" priority="438">
      <formula>COUNTIF(I791:N791,"&lt;&gt;" &amp; "")&gt;0</formula>
    </cfRule>
    <cfRule type="expression" dxfId="4" priority="439">
      <formula>AND(COUNTIF(I791:N791,"&lt;&gt;" &amp; "")&gt;0,NOT(ISBLANK(G791)))</formula>
    </cfRule>
  </conditionalFormatting>
  <conditionalFormatting sqref="G800">
    <cfRule type="expression" dxfId="3" priority="443">
      <formula>COUNTIF(I800:N800,"&lt;&gt;" &amp; "")&gt;0</formula>
    </cfRule>
    <cfRule type="expression" dxfId="2" priority="444">
      <formula>AND(COUNTIF(I800:N800,"&lt;&gt;" &amp; "")&gt;0,NOT(ISBLANK(G800)))</formula>
    </cfRule>
  </conditionalFormatting>
  <conditionalFormatting sqref="G809">
    <cfRule type="expression" dxfId="1" priority="448">
      <formula>COUNTIF(I809:N809,"&lt;&gt;" &amp; "")&gt;0</formula>
    </cfRule>
    <cfRule type="expression" dxfId="0" priority="449">
      <formula>AND(COUNTIF(I809:N809,"&lt;&gt;" &amp; "")&gt;0,NOT(ISBLANK(G809)))</formula>
    </cfRule>
  </conditionalFormatting>
  <dataValidations count="2">
    <dataValidation type="list" allowBlank="1" showInputMessage="1" showErrorMessage="1" sqref="B5 B806 B797 B788 B779 B770 B761 B752 B743 B734 B725 B716 B707 B698 B689 B680 B671 B662 B653 B644 B635 B626 B617 B608 B599 B590 B581 B572 B563 B554 B545 B536 B527 B518 B509 B500 B491 B482 B473 B464 B455 B446 B437 B428 B419 B410 B401 B392 B383 B374 B365 B356 B347 B338 B329 B320 B311 B302 B293 B284 B275 B266 B257 B248 B239 B230 B221 B212 B203 B194 B185 B176 B167 B158 B149 B140 B131 B122 B113 B104 B95 B86 B77 B68 B59 B50 B41 B32 B23 B14" xr:uid="{204EE3FF-0A36-473C-850A-6120D5F2735B}">
      <formula1>"Y,N"</formula1>
    </dataValidation>
    <dataValidation type="list" allowBlank="1" showInputMessage="1" showErrorMessage="1" sqref="E8 E809 E800 E791 E782 E773 E764 E755 E746 E737 E728 E719 E710 E701 E692 E683 E674 E665 E656 E647 E638 E629 E620 E611 E602 E593 E584 E575 E566 E557 E548 E539 E530 E521 E512 E503 E494 E485 E476 E467 E458 E449 E440 E431 E422 E413 E404 E395 E386 E377 E368 E359 E350 E341 E332 E323 E314 E305 E296 E287 E278 E269 E260 E251 E242 E233 E224 E215 E206 E197 E188 E179 E170 E161 E152 E143 E134 E125 E116 E107 E98 E89 E80 E71 E62 E53 E44 E35 E26 E17" xr:uid="{042801DA-81CC-4F2D-B844-7504ADEE6E67}">
      <formula1>"N.A."</formula1>
    </dataValidation>
  </dataValidations>
  <hyperlinks>
    <hyperlink ref="B5" location="Interactions!B8" display="Y" xr:uid="{BA7067AC-775D-4EC9-93C2-3E7D0999EE62}"/>
    <hyperlink ref="B8" location="Interactions!$B$5" display="Interactions!$B$5" xr:uid="{05DB4078-6307-4499-B4F5-0C1481F152E4}"/>
    <hyperlink ref="B14" location="Interactions!B17" display="Y" xr:uid="{8D62679F-5C5A-4835-B443-E46BC488DE46}"/>
    <hyperlink ref="B17" location="Interactions!$B$14" display="Interactions!$B$14" xr:uid="{B4C7C6F6-4E17-44F8-9085-45CF7061BF4B}"/>
    <hyperlink ref="B23" location="Interactions!B26" display="Y" xr:uid="{BB128EB4-5F68-4C8A-9377-8DDAD2E16F2F}"/>
    <hyperlink ref="B26" location="Interactions!$B$23" display="Interactions!$B$23" xr:uid="{A5C9A1B1-44E5-4A5D-88D5-7B4225BA3128}"/>
    <hyperlink ref="B32" location="Interactions!B35" display="Y" xr:uid="{E683D456-3059-4C3B-B018-28E8DA4633E2}"/>
    <hyperlink ref="B35" location="Interactions!$B$32" display="Interactions!$B$32" xr:uid="{7C326F9B-5BCC-473F-96BC-4A8E2668FC0F}"/>
    <hyperlink ref="B41" location="Interactions!B44" display="Y" xr:uid="{9732534B-CA9A-4CCF-A76F-6F45D89B0186}"/>
    <hyperlink ref="B44" location="Interactions!$B$41" display="Interactions!$B$41" xr:uid="{1E73169C-645F-40D0-B849-B68FF259A602}"/>
    <hyperlink ref="B50" location="Interactions!B53" display="Y" xr:uid="{2F540B60-1172-4689-A7BF-383E6C582EDE}"/>
    <hyperlink ref="B53" location="Interactions!$B$50" display="Interactions!$B$50" xr:uid="{2BF47303-18BD-4E22-B349-7BD85D8D78CA}"/>
    <hyperlink ref="B59" location="Interactions!B62" display="Y" xr:uid="{4C777AD6-73FF-4667-AB24-C129A6C63C1C}"/>
    <hyperlink ref="B62" location="Interactions!$B$59" display="Interactions!$B$59" xr:uid="{D84BA69E-0983-4635-99C2-8FC96300F31B}"/>
    <hyperlink ref="B68" location="Interactions!B71" display="Y" xr:uid="{C643135F-B951-4EB0-8CC2-ED87EA6533E0}"/>
    <hyperlink ref="B71" location="Interactions!$B$68" display="Interactions!$B$68" xr:uid="{399F1BFF-651B-4AD1-8525-096173E6BFF2}"/>
    <hyperlink ref="B77" location="Interactions!B80" display="Y" xr:uid="{3A060723-F419-4193-85B7-E29225D4D332}"/>
    <hyperlink ref="B80" location="Interactions!$B$77" display="Interactions!$B$77" xr:uid="{553F5663-8206-433A-86E6-DBB02E26676B}"/>
    <hyperlink ref="B86" location="Interactions!B89" display="Y" xr:uid="{90C0AAFD-1E8A-45B9-A086-45C621B822DC}"/>
    <hyperlink ref="B89" location="Interactions!$B$86" display="Interactions!$B$86" xr:uid="{B65DC988-2A01-4AF2-B142-F705AEC12B71}"/>
    <hyperlink ref="B95" location="Interactions!B98" display="Y" xr:uid="{87088EF4-F1A0-4428-BC2E-7D646D35CB55}"/>
    <hyperlink ref="B98" location="Interactions!$B$95" display="Interactions!$B$95" xr:uid="{16F1CC3E-D419-4CD9-A185-5284CB35EA28}"/>
    <hyperlink ref="B104" location="Interactions!B107" display="Y" xr:uid="{0453DCB7-2B73-4750-BD37-A900D6DB9F66}"/>
    <hyperlink ref="B107" location="Interactions!$B$104" display="Interactions!$B$104" xr:uid="{A5D74785-B94C-4441-A8D5-5B7E0C298CB5}"/>
    <hyperlink ref="B113" location="Interactions!B116" display="Y" xr:uid="{11474B66-CCE2-48E9-AAF3-E72F3868BE5A}"/>
    <hyperlink ref="B116" location="Interactions!$B$113" display="Interactions!$B$113" xr:uid="{3261667E-41E8-4D82-BDAD-731F765374E9}"/>
    <hyperlink ref="B122" location="Interactions!B125" display="Y" xr:uid="{3323C4A9-31F9-49AC-85A1-0999036D48F6}"/>
    <hyperlink ref="B125" location="Interactions!$B$122" display="Interactions!$B$122" xr:uid="{B97ADE74-467A-4713-9BD4-7DA794F42067}"/>
    <hyperlink ref="B131" location="Interactions!B134" display="Y" xr:uid="{DFA3F701-B58C-4D55-977B-82BBBE13C3B3}"/>
    <hyperlink ref="B134" location="Interactions!$B$131" display="Interactions!$B$131" xr:uid="{EDC0557B-EC53-46B6-9086-AC199B287A71}"/>
    <hyperlink ref="B140" location="Interactions!B143" display="Y" xr:uid="{9635FF58-F928-4067-8531-7B857D209E76}"/>
    <hyperlink ref="B143" location="Interactions!$B$140" display="Interactions!$B$140" xr:uid="{98F4FBFA-4054-455B-90AB-ACF57EEFC6DC}"/>
    <hyperlink ref="B149" location="Interactions!B152" display="Y" xr:uid="{CE3D2BE4-84BF-4950-94CC-217F03A34A44}"/>
    <hyperlink ref="B152" location="Interactions!$B$149" display="Interactions!$B$149" xr:uid="{AA89B026-78B7-4CD4-8D04-328062F41396}"/>
    <hyperlink ref="B158" location="Interactions!B161" display="Y" xr:uid="{03E2D3C4-018B-44FF-853B-B0AFE838E4C9}"/>
    <hyperlink ref="B161" location="Interactions!$B$158" display="Interactions!$B$158" xr:uid="{C3F747B8-B5CA-4341-9FFF-ACB8B574D2A3}"/>
    <hyperlink ref="B167" location="Interactions!B170" display="Y" xr:uid="{443C7C09-53D7-430E-A247-EAD46C4E7584}"/>
    <hyperlink ref="B170" location="Interactions!$B$167" display="Interactions!$B$167" xr:uid="{33E9C9DA-8A8F-4EC7-BB73-93EB6F30E3AB}"/>
    <hyperlink ref="B176" location="Interactions!B179" display="Y" xr:uid="{AA0002FB-72D2-4967-B7CB-3C099B37E2C3}"/>
    <hyperlink ref="B179" location="Interactions!$B$176" display="Interactions!$B$176" xr:uid="{2C26E42A-CEA6-4312-9B5D-F8337A8372BA}"/>
    <hyperlink ref="B185" location="Interactions!B188" display="Y" xr:uid="{12460A7B-6938-459F-9F0B-AF269AAEE966}"/>
    <hyperlink ref="B188" location="Interactions!$B$185" display="Interactions!$B$185" xr:uid="{5720F255-78FE-4858-87A4-4BDA277DC2F5}"/>
    <hyperlink ref="B194" location="Interactions!B197" display="Y" xr:uid="{850287CC-F19E-4DEB-AC27-53B40570D257}"/>
    <hyperlink ref="B197" location="Interactions!$B$194" display="Interactions!$B$194" xr:uid="{53363A4A-6C58-4F6F-8978-9566F21E47B4}"/>
    <hyperlink ref="B203" location="Interactions!B206" display="Y" xr:uid="{6223A9A1-80E8-4A45-AEF9-3F81FC2B5540}"/>
    <hyperlink ref="B206" location="Interactions!$B$203" display="Interactions!$B$203" xr:uid="{6A8BB982-76D6-47DA-9BB3-89F25A4335B5}"/>
    <hyperlink ref="B212" location="Interactions!B215" display="Y" xr:uid="{D255A277-892B-4391-AAC6-5C7263BDDF5D}"/>
    <hyperlink ref="B215" location="Interactions!$B$212" display="Interactions!$B$212" xr:uid="{49029F0E-8E0E-4E30-8D5D-6BE671A10FDC}"/>
    <hyperlink ref="B221" location="Interactions!B224" display="Y" xr:uid="{46CF2B7C-19E3-409B-B5AF-4F455DE58E75}"/>
    <hyperlink ref="B224" location="Interactions!$B$221" display="Interactions!$B$221" xr:uid="{6036E535-0F07-42DE-87F4-81E7FC5D5D18}"/>
    <hyperlink ref="B230" location="Interactions!B233" display="Y" xr:uid="{764F96BD-CA08-44D4-99F8-C25EBE87C3D0}"/>
    <hyperlink ref="B233" location="Interactions!$B$230" display="Interactions!$B$230" xr:uid="{04501787-E675-4747-9801-DB5926ED9202}"/>
    <hyperlink ref="B239" location="Interactions!B242" display="Y" xr:uid="{589D9E76-BDD8-494E-8521-76EA4AAF647E}"/>
    <hyperlink ref="B242" location="Interactions!$B$239" display="Interactions!$B$239" xr:uid="{EC83CA7A-3D40-4E92-8A25-37C85D7BD0E5}"/>
    <hyperlink ref="B248" location="Interactions!B251" display="Y" xr:uid="{D954227A-368A-4BF2-85FC-2BA64E64A165}"/>
    <hyperlink ref="B251" location="Interactions!$B$248" display="Interactions!$B$248" xr:uid="{459F063A-C033-4C24-A348-F0EB6EC4B8CD}"/>
    <hyperlink ref="B257" location="Interactions!B260" display="Y" xr:uid="{93CFCF50-184D-41F9-A57E-DE2235E5723C}"/>
    <hyperlink ref="B260" location="Interactions!$B$257" display="Interactions!$B$257" xr:uid="{CEB5ADF6-B119-41F5-A406-34B0A6F2C780}"/>
    <hyperlink ref="B266" location="Interactions!B269" display="Y" xr:uid="{37B90287-EA60-4193-BFF4-FEC0E8DCDA34}"/>
    <hyperlink ref="B269" location="Interactions!$B$266" display="Interactions!$B$266" xr:uid="{4BC1447C-1E14-4D53-8940-1F1C7BBB2C15}"/>
    <hyperlink ref="B275" location="Interactions!B278" display="Y" xr:uid="{4D2CF730-35AA-4C14-B544-E956F76740A8}"/>
    <hyperlink ref="B278" location="Interactions!$B$275" display="Interactions!$B$275" xr:uid="{BF702D23-9A8F-400E-AF32-B47952741FFF}"/>
    <hyperlink ref="B284" location="Interactions!B287" display="Y" xr:uid="{A3C5FA9B-EF07-4994-834B-603D47132FD0}"/>
    <hyperlink ref="B287" location="Interactions!$B$284" display="Interactions!$B$284" xr:uid="{330FA1AE-2896-4CF6-9115-E39FC218C4A5}"/>
    <hyperlink ref="B293" location="Interactions!B296" display="Y" xr:uid="{984963DD-4620-418E-8881-D8CFF88555F0}"/>
    <hyperlink ref="B296" location="Interactions!$B$293" display="Interactions!$B$293" xr:uid="{0D7FBA13-90A2-4163-A722-F8669E148F95}"/>
    <hyperlink ref="B302" location="Interactions!B305" display="Y" xr:uid="{3937743C-E3CE-4236-AE8F-565BB15AF7AF}"/>
    <hyperlink ref="B305" location="Interactions!$B$302" display="Interactions!$B$302" xr:uid="{79A73926-C15A-407F-9A8A-24A223865405}"/>
    <hyperlink ref="B311" location="Interactions!B314" display="Y" xr:uid="{B957966B-620A-47C8-B4AB-450BF568B7EC}"/>
    <hyperlink ref="B314" location="Interactions!$B$311" display="Interactions!$B$311" xr:uid="{7B60DDBB-5FD3-4214-9F0B-63C814EC7B68}"/>
    <hyperlink ref="B320" location="Interactions!B323" display="Y" xr:uid="{64101B8E-CB2D-4378-9095-1ED260D3F57D}"/>
    <hyperlink ref="B323" location="Interactions!$B$320" display="Interactions!$B$320" xr:uid="{B80F4A15-90A4-43BD-B28E-DF46A58DAEE5}"/>
    <hyperlink ref="B329" location="Interactions!B332" display="Y" xr:uid="{88452EA1-F8FA-4598-96B0-3AAFFF3528B2}"/>
    <hyperlink ref="B332" location="Interactions!$B$329" display="Interactions!$B$329" xr:uid="{409B12BF-F550-4CC4-ADD2-CC5D22009068}"/>
    <hyperlink ref="B338" location="Interactions!B341" display="Y" xr:uid="{8852CB66-1765-4552-A0EA-FF259310C52D}"/>
    <hyperlink ref="B341" location="Interactions!$B$338" display="Interactions!$B$338" xr:uid="{BADE71BB-F553-4BCF-ABC1-6F230C5CD8FC}"/>
    <hyperlink ref="B347" location="Interactions!B350" display="Y" xr:uid="{F38495DF-BCA0-4C51-923E-9485CCCFBE39}"/>
    <hyperlink ref="B350" location="Interactions!$B$347" display="Interactions!$B$347" xr:uid="{6DDE4E81-7E85-44DD-9BE7-B9212CD06389}"/>
    <hyperlink ref="B356" location="Interactions!B359" display="Y" xr:uid="{EEA9476E-1C61-43BD-8CBE-488863F7C407}"/>
    <hyperlink ref="B359" location="Interactions!$B$356" display="Interactions!$B$356" xr:uid="{45AE13EE-1395-4AEC-BB4A-69BCB91345CD}"/>
    <hyperlink ref="B365" location="Interactions!B368" display="Y" xr:uid="{12F43ED5-1F74-4CCE-890C-B5EFF1D7D2AA}"/>
    <hyperlink ref="B368" location="Interactions!$B$365" display="Interactions!$B$365" xr:uid="{3411CD1A-393A-46CA-A56E-D003C848AD7F}"/>
    <hyperlink ref="B374" location="Interactions!B377" display="Y" xr:uid="{01445E1D-A706-476C-8C34-94B9F1662FF6}"/>
    <hyperlink ref="B377" location="Interactions!$B$374" display="Interactions!$B$374" xr:uid="{C928B600-F1D7-4585-9C85-76ADA9E73F7C}"/>
    <hyperlink ref="B383" location="Interactions!B386" display="Y" xr:uid="{6FEE3CCE-B37F-496E-B205-5E544B4D67A3}"/>
    <hyperlink ref="B386" location="Interactions!$B$383" display="Interactions!$B$383" xr:uid="{4BE49C39-9524-49D6-B85F-775E6DA15CE6}"/>
    <hyperlink ref="B392" location="Interactions!B395" display="Y" xr:uid="{C7A6FA84-E8D9-4D39-A1A0-39A0273A06FF}"/>
    <hyperlink ref="B395" location="Interactions!$B$392" display="Interactions!$B$392" xr:uid="{FA2F6962-68DD-45F1-95C9-7F7A5B08EE80}"/>
    <hyperlink ref="B401" location="Interactions!B404" display="Y" xr:uid="{6ADE1AB3-8596-486F-8F49-BC0C41C7DAC0}"/>
    <hyperlink ref="B404" location="Interactions!$B$401" display="Interactions!$B$401" xr:uid="{EBBECF0B-D395-4393-B0D4-C065B7297520}"/>
    <hyperlink ref="B410" location="Interactions!B413" display="Y" xr:uid="{817C67B1-3ED3-491E-9653-55386E927C07}"/>
    <hyperlink ref="B413" location="Interactions!$B$410" display="Interactions!$B$410" xr:uid="{6A31AD95-4D9A-42B2-BD77-4A650DFA6556}"/>
    <hyperlink ref="B419" location="Interactions!B422" display="Y" xr:uid="{4C9F1BF7-DC0E-4FEB-94E2-C1FDDBEE99CD}"/>
    <hyperlink ref="B422" location="Interactions!$B$419" display="Interactions!$B$419" xr:uid="{F5A2246B-E40D-4FE5-877E-ABED76365E25}"/>
    <hyperlink ref="B428" location="Interactions!B431" display="Y" xr:uid="{77A9CC83-7F69-43FD-B70B-65B9B1B945F1}"/>
    <hyperlink ref="B431" location="Interactions!$B$428" display="Interactions!$B$428" xr:uid="{870FB00C-4EB6-475F-8F3D-D38BF39F4984}"/>
    <hyperlink ref="B437" location="Interactions!B440" display="Y" xr:uid="{07740386-6765-405A-B0B1-7BA509AEEB4E}"/>
    <hyperlink ref="B440" location="Interactions!$B$437" display="Interactions!$B$437" xr:uid="{9AE498E3-AF53-412E-B7ED-957EC156E045}"/>
    <hyperlink ref="B446" location="Interactions!B449" display="Y" xr:uid="{1AA8782A-C875-42E2-8C03-9E7AA850A37B}"/>
    <hyperlink ref="B449" location="Interactions!$B$446" display="Interactions!$B$446" xr:uid="{19EF7F3A-9398-433F-8B9E-F5E4C4B37B22}"/>
    <hyperlink ref="B455" location="Interactions!B458" display="Y" xr:uid="{90DAC307-237D-4A8F-9522-49BCAC6B71B5}"/>
    <hyperlink ref="B458" location="Interactions!$B$455" display="Interactions!$B$455" xr:uid="{EDF00A9C-45D8-4F77-A5CB-DA4423C4F20A}"/>
    <hyperlink ref="B464" location="Interactions!B467" display="Y" xr:uid="{74EA7884-D592-4AA2-81CA-41A5C46F50B1}"/>
    <hyperlink ref="B467" location="Interactions!$B$464" display="Interactions!$B$464" xr:uid="{941E8846-0CD6-4C65-AE96-B88DA67FC8D0}"/>
    <hyperlink ref="B473" location="Interactions!B476" display="Y" xr:uid="{B48637CE-8190-4D14-B6F7-50D4958354B5}"/>
    <hyperlink ref="B476" location="Interactions!$B$473" display="Interactions!$B$473" xr:uid="{3FA0B93E-52CD-4C94-BC62-56F756A830AA}"/>
    <hyperlink ref="B482" location="Interactions!B485" display="Y" xr:uid="{D7367419-DD58-444A-ABE8-2E8EFA6FE575}"/>
    <hyperlink ref="B485" location="Interactions!$B$482" display="Interactions!$B$482" xr:uid="{F82E426B-A04D-47C3-991B-875FEB654AAE}"/>
    <hyperlink ref="B491" location="Interactions!B494" display="Y" xr:uid="{0F7FD903-D45A-4CB6-850A-8568E358354F}"/>
    <hyperlink ref="B494" location="Interactions!$B$491" display="Interactions!$B$491" xr:uid="{F8C33578-3AF3-4916-A52C-ADF7D4ED0D4A}"/>
    <hyperlink ref="B500" location="Interactions!B503" display="Y" xr:uid="{3A883847-B8C4-4D27-BEBD-7D9B4BB415BD}"/>
    <hyperlink ref="B503" location="Interactions!$B$500" display="Interactions!$B$500" xr:uid="{EF0C5569-24A4-44D2-9DA5-426522B3D262}"/>
    <hyperlink ref="B509" location="Interactions!B512" display="Y" xr:uid="{5AB3894B-1782-4772-94E7-4746AC61C857}"/>
    <hyperlink ref="B512" location="Interactions!$B$509" display="Interactions!$B$509" xr:uid="{E180DE7E-8D5B-4F17-AE6B-04630E75E042}"/>
    <hyperlink ref="B518" location="Interactions!B521" display="Y" xr:uid="{CEFA591B-7C0D-4C5A-8730-56969532C796}"/>
    <hyperlink ref="B521" location="Interactions!$B$518" display="Interactions!$B$518" xr:uid="{7FFB74F6-FE71-40EE-8C85-DB127A22267C}"/>
    <hyperlink ref="B527" location="Interactions!B530" display="Y" xr:uid="{8D1DBA78-C81F-4725-9FFF-82E328C30D01}"/>
    <hyperlink ref="B530" location="Interactions!$B$527" display="Interactions!$B$527" xr:uid="{BAF953B5-CBEF-434E-A597-BF6F4F93A9CF}"/>
    <hyperlink ref="B536" location="Interactions!B539" display="Y" xr:uid="{93630BDB-327C-4180-9AE4-8372A5F81D3A}"/>
    <hyperlink ref="B539" location="Interactions!$B$536" display="Interactions!$B$536" xr:uid="{BF74A616-3D1C-4034-9BF5-CA092B92BB48}"/>
    <hyperlink ref="B545" location="Interactions!B548" display="Y" xr:uid="{C4EAFED9-EC29-4C66-B52D-2BEDF5B854A1}"/>
    <hyperlink ref="B548" location="Interactions!$B$545" display="Interactions!$B$545" xr:uid="{4AE27605-C7A0-4D37-B795-E9BD84ECDD2F}"/>
    <hyperlink ref="B554" location="Interactions!B557" display="Y" xr:uid="{9817F472-306E-47B1-9501-6DEA565AB2BE}"/>
    <hyperlink ref="B557" location="Interactions!$B$554" display="Interactions!$B$554" xr:uid="{85AD1ECD-A68D-4EC3-8D3D-6A23529CA70B}"/>
    <hyperlink ref="B563" location="Interactions!B566" display="Y" xr:uid="{571A6560-6780-4C73-87E4-B7582C09620C}"/>
    <hyperlink ref="B566" location="Interactions!$B$563" display="Interactions!$B$563" xr:uid="{16ECA819-6605-4005-9151-F07D7ECB5FC2}"/>
    <hyperlink ref="B572" location="Interactions!B575" display="Y" xr:uid="{439E883A-0099-48EE-ADB1-92ADCCB0794A}"/>
    <hyperlink ref="B575" location="Interactions!$B$572" display="Interactions!$B$572" xr:uid="{742D5643-1DA8-4D45-9149-0A667BFA57F9}"/>
    <hyperlink ref="B581" location="Interactions!B584" display="Y" xr:uid="{026071C3-0F62-46B7-91F2-7F82FB8C1512}"/>
    <hyperlink ref="B584" location="Interactions!$B$581" display="Interactions!$B$581" xr:uid="{723CEFB5-2D45-43AC-BF01-95619C8C48F6}"/>
    <hyperlink ref="B590" location="Interactions!B593" display="Y" xr:uid="{9071CB5B-67DF-4509-A02E-07BD1E7454B3}"/>
    <hyperlink ref="B593" location="Interactions!$B$590" display="Interactions!$B$590" xr:uid="{FDA9B32F-5DAA-47FD-913F-328F31AA157D}"/>
    <hyperlink ref="B599" location="Interactions!B602" display="Y" xr:uid="{7F906542-50ED-4AC6-B851-546D91D0C344}"/>
    <hyperlink ref="B602" location="Interactions!$B$599" display="Interactions!$B$599" xr:uid="{F7458364-5E19-4DD5-875D-42C2259FA9CA}"/>
    <hyperlink ref="B608" location="Interactions!B611" display="Y" xr:uid="{339ABF51-AE3D-4C00-B379-C3B68D127483}"/>
    <hyperlink ref="B611" location="Interactions!$B$608" display="Interactions!$B$608" xr:uid="{7BDCEAA9-EAB5-4FB4-964A-3D7FF9FCE20C}"/>
    <hyperlink ref="B617" location="Interactions!B620" display="Y" xr:uid="{5D3DDA6C-526A-4A52-A705-8B8C3F676F2C}"/>
    <hyperlink ref="B620" location="Interactions!$B$617" display="Interactions!$B$617" xr:uid="{A8B3857C-F201-4E9F-A218-9DF65449733D}"/>
    <hyperlink ref="B626" location="Interactions!B629" display="Y" xr:uid="{1038D9CA-CDB3-467E-861B-F985B8253500}"/>
    <hyperlink ref="B629" location="Interactions!$B$626" display="Interactions!$B$626" xr:uid="{37968187-8E6E-4145-ACF9-A04082932EE3}"/>
    <hyperlink ref="B635" location="Interactions!B638" display="Y" xr:uid="{8BEFA095-0500-4B7F-AA17-ADBEC1F1CDF1}"/>
    <hyperlink ref="B638" location="Interactions!$B$635" display="Interactions!$B$635" xr:uid="{21D6582C-891E-4CBB-83EB-6C93C183929C}"/>
    <hyperlink ref="B644" location="Interactions!B647" display="Y" xr:uid="{6F52FC29-FC22-47EB-881D-019447937007}"/>
    <hyperlink ref="B647" location="Interactions!$B$644" display="Interactions!$B$644" xr:uid="{89D50754-B634-4B41-8E74-EDDD34620712}"/>
    <hyperlink ref="B653" location="Interactions!B656" display="Y" xr:uid="{D80AE371-16C4-4E48-9783-94969B031F08}"/>
    <hyperlink ref="B656" location="Interactions!$B$653" display="Interactions!$B$653" xr:uid="{DA305785-2973-4D60-8CD6-4327E57A7843}"/>
    <hyperlink ref="B662" location="Interactions!B665" display="Y" xr:uid="{A48E1A6B-7546-4173-9CD4-FE6D048F7C92}"/>
    <hyperlink ref="B665" location="Interactions!$B$662" display="Interactions!$B$662" xr:uid="{526EDCB9-53D7-402A-A7B8-D2FBABA9A0E8}"/>
    <hyperlink ref="B671" location="Interactions!B674" display="Y" xr:uid="{D372A9CA-90C2-46BC-845B-D0F5D15C409E}"/>
    <hyperlink ref="B674" location="Interactions!$B$671" display="Interactions!$B$671" xr:uid="{8A5BEAC2-66A9-4609-B287-A9D40C3AA36A}"/>
    <hyperlink ref="B680" location="Interactions!B683" display="Y" xr:uid="{C297E84A-1086-4286-A8EC-FE13C1C6F9C3}"/>
    <hyperlink ref="B683" location="Interactions!$B$680" display="Interactions!$B$680" xr:uid="{084909E4-9475-48AA-BEC0-7A3CD32B55EA}"/>
    <hyperlink ref="B689" location="Interactions!B692" display="Y" xr:uid="{99CFF9BA-DAA7-4635-9769-8AA47290DB30}"/>
    <hyperlink ref="B692" location="Interactions!$B$689" display="Interactions!$B$689" xr:uid="{A0D62927-C982-435F-8A1C-75C041BED67D}"/>
    <hyperlink ref="B698" location="Interactions!B701" display="Y" xr:uid="{44E3D732-6EE6-428F-B1D4-81992742D1D7}"/>
    <hyperlink ref="B701" location="Interactions!$B$698" display="Interactions!$B$698" xr:uid="{50DFDE04-DB3E-4028-8731-68FFC1B06FED}"/>
    <hyperlink ref="B707" location="Interactions!B710" display="Y" xr:uid="{6CCB0E78-5BFF-4467-B93A-88D6CF346710}"/>
    <hyperlink ref="B710" location="Interactions!$B$707" display="Interactions!$B$707" xr:uid="{3EFFA714-0026-47A4-AA31-09A1EFC06095}"/>
    <hyperlink ref="B716" location="Interactions!B719" display="Y" xr:uid="{815EA0E8-840A-411D-813B-FE3FDB8EEA73}"/>
    <hyperlink ref="B719" location="Interactions!$B$716" display="Interactions!$B$716" xr:uid="{9045C447-4388-461C-8F1D-3E37654EDA50}"/>
    <hyperlink ref="B725" location="Interactions!B728" display="Y" xr:uid="{524A0795-596A-423C-B20B-EB87F6D6F44A}"/>
    <hyperlink ref="B728" location="Interactions!$B$725" display="Interactions!$B$725" xr:uid="{39DF115F-FDDD-4BC4-90C8-2621354773CF}"/>
    <hyperlink ref="B734" location="Interactions!B737" display="Y" xr:uid="{3C164BCF-C3B1-460B-BEA9-7E9C8DBCDB9E}"/>
    <hyperlink ref="B737" location="Interactions!$B$734" display="Interactions!$B$734" xr:uid="{8C5D2C20-197B-4C9F-9F71-45E808B59390}"/>
    <hyperlink ref="B743" location="Interactions!B746" display="Y" xr:uid="{00298C38-9F9F-40A6-8582-535C506E40A1}"/>
    <hyperlink ref="B746" location="Interactions!$B$743" display="Interactions!$B$743" xr:uid="{CDE32003-3C7B-4631-AB2F-A6DD3F612EE9}"/>
    <hyperlink ref="B752" location="Interactions!B755" display="Y" xr:uid="{D2EF684C-45F8-4DDA-B5F2-92DBAF67865F}"/>
    <hyperlink ref="B755" location="Interactions!$B$752" display="Interactions!$B$752" xr:uid="{6D8CC522-2A7B-44BB-BD5B-E41BD26B98CA}"/>
    <hyperlink ref="B761" location="Interactions!B764" display="Y" xr:uid="{35129DD4-8942-4B4E-99FD-063298156005}"/>
    <hyperlink ref="B764" location="Interactions!$B$761" display="Interactions!$B$761" xr:uid="{D9FBB4F9-474D-4E11-A6E5-2401FC34F8E8}"/>
    <hyperlink ref="B770" location="Interactions!B773" display="Y" xr:uid="{2AF1992E-5894-4EA2-B152-A84762F870BB}"/>
    <hyperlink ref="B773" location="Interactions!$B$770" display="Interactions!$B$770" xr:uid="{702A720B-1BBC-4E84-B976-6AE6161A0E07}"/>
    <hyperlink ref="B779" location="Interactions!B782" display="Y" xr:uid="{E4530A84-8DE9-4903-88F6-0295B4752B05}"/>
    <hyperlink ref="B782" location="Interactions!$B$779" display="Interactions!$B$779" xr:uid="{24083AFB-EEC8-44C4-8F83-41BF6534BDC6}"/>
    <hyperlink ref="B788" location="Interactions!B791" display="Y" xr:uid="{A34947BF-0DF3-419D-A33F-E3DE0A9BEE2C}"/>
    <hyperlink ref="B791" location="Interactions!$B$788" display="Interactions!$B$788" xr:uid="{8DE86D87-9C69-4233-B5F1-3DCCE4970A3B}"/>
    <hyperlink ref="B797" location="Interactions!B800" display="Y" xr:uid="{542E2539-6A8C-40B9-8C75-90DED76AA4ED}"/>
    <hyperlink ref="B800" location="Interactions!$B$797" display="Interactions!$B$797" xr:uid="{0DCCEBE4-4941-4409-AB23-3DA6F2B1C833}"/>
    <hyperlink ref="B806" location="Interactions!B809" display="Y" xr:uid="{89EAA41B-A627-41C5-B87A-C2DA4034ED5D}"/>
    <hyperlink ref="B809" location="Interactions!$B$806" display="Interactions!$B$806" xr:uid="{9DF89EEF-C1BA-4A63-8C5B-2935FE7C830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de2aea6-bdc3-4e5f-b0ae-84d85b5764e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13" ma:contentTypeDescription="Create a new document." ma:contentTypeScope="" ma:versionID="a222eb7ab0cf4508cce7c7319f3c2955">
  <xsd:schema xmlns:xsd="http://www.w3.org/2001/XMLSchema" xmlns:xs="http://www.w3.org/2001/XMLSchema" xmlns:p="http://schemas.microsoft.com/office/2006/metadata/properties" xmlns:ns2="5de2aea6-bdc3-4e5f-b0ae-84d85b5764e4" xmlns:ns3="d27fc6f8-d518-4cdb-8bab-875cbacf3583" targetNamespace="http://schemas.microsoft.com/office/2006/metadata/properties" ma:root="true" ma:fieldsID="daa2ef1fbb8a42edff9ae6aeec006a1a" ns2:_="" ns3:_="">
    <xsd:import namespace="5de2aea6-bdc3-4e5f-b0ae-84d85b5764e4"/>
    <xsd:import namespace="d27fc6f8-d518-4cdb-8bab-875cbacf35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fc6f8-d518-4cdb-8bab-875cbacf358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9BAD31-19A2-4CF2-98B3-7A6CFACC111A}">
  <ds:schemaRefs>
    <ds:schemaRef ds:uri="http://schemas.microsoft.com/office/2006/metadata/properties"/>
    <ds:schemaRef ds:uri="http://schemas.microsoft.com/office/infopath/2007/PartnerControls"/>
    <ds:schemaRef ds:uri="5de2aea6-bdc3-4e5f-b0ae-84d85b5764e4"/>
  </ds:schemaRefs>
</ds:datastoreItem>
</file>

<file path=customXml/itemProps2.xml><?xml version="1.0" encoding="utf-8"?>
<ds:datastoreItem xmlns:ds="http://schemas.openxmlformats.org/officeDocument/2006/customXml" ds:itemID="{B26FC8A1-8A27-404E-991C-F239BD57EC53}">
  <ds:schemaRefs>
    <ds:schemaRef ds:uri="http://schemas.microsoft.com/sharepoint/v3/contenttype/forms"/>
  </ds:schemaRefs>
</ds:datastoreItem>
</file>

<file path=customXml/itemProps3.xml><?xml version="1.0" encoding="utf-8"?>
<ds:datastoreItem xmlns:ds="http://schemas.openxmlformats.org/officeDocument/2006/customXml" ds:itemID="{3890ED22-CDC4-4A06-8A98-F71AE9703D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d27fc6f8-d518-4cdb-8bab-875cbacf3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Population Definitions</vt:lpstr>
      <vt:lpstr>Antenatal care</vt:lpstr>
      <vt:lpstr>Asphyxia</vt:lpstr>
      <vt:lpstr>Hemorrhage</vt:lpstr>
      <vt:lpstr>Anemia</vt:lpstr>
      <vt:lpstr>Maternal sepsis</vt:lpstr>
      <vt:lpstr>Obstructed labor</vt:lpstr>
      <vt:lpstr>Other neonatal conditions</vt:lpstr>
      <vt:lpstr>Neonatal sepsis</vt:lpstr>
      <vt:lpstr>Preterm</vt:lpstr>
      <vt:lpstr>RDS</vt:lpstr>
      <vt:lpstr>Wasting</vt:lpstr>
      <vt:lpstr>Stunting</vt:lpstr>
      <vt:lpstr>Preeclampsia</vt:lpstr>
      <vt:lpstr>Maternal nutrition</vt:lpstr>
      <vt:lpstr>Stitching</vt:lpstr>
      <vt:lpstr>Interactions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Walsh</dc:creator>
  <cp:lastModifiedBy>Tom Walsh</cp:lastModifiedBy>
  <dcterms:created xsi:type="dcterms:W3CDTF">2022-07-18T04:43:39Z</dcterms:created>
  <dcterms:modified xsi:type="dcterms:W3CDTF">2026-02-23T00:41:22Z</dcterms:modified>
  <cp:category>atomica:databook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ies>
</file>