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.walsh\Projects\A coupled model analyses\calibrations\"/>
    </mc:Choice>
  </mc:AlternateContent>
  <xr:revisionPtr revIDLastSave="0" documentId="13_ncr:1_{C18C07FE-1EED-4631-88D1-D770A0D222F9}" xr6:coauthVersionLast="47" xr6:coauthVersionMax="47" xr10:uidLastSave="{00000000-0000-0000-0000-000000000000}"/>
  <bookViews>
    <workbookView xWindow="-110" yWindow="-110" windowWidth="19420" windowHeight="11500" activeTab="1" xr2:uid="{009B1895-341E-4F43-9CA0-6E334AF35ED3}"/>
  </bookViews>
  <sheets>
    <sheet name="SSA" sheetId="1" r:id="rId1"/>
    <sheet name="SA" sheetId="2" r:id="rId2"/>
    <sheet name="Oth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3" l="1"/>
  <c r="F32" i="3" l="1"/>
  <c r="F31" i="3"/>
  <c r="F30" i="3" l="1"/>
  <c r="F29" i="3"/>
  <c r="F24" i="3"/>
  <c r="F14" i="3"/>
  <c r="F5" i="3"/>
  <c r="F14" i="2" l="1"/>
  <c r="F5" i="2"/>
  <c r="F14" i="1"/>
  <c r="F5" i="1"/>
</calcChain>
</file>

<file path=xl/sharedStrings.xml><?xml version="1.0" encoding="utf-8"?>
<sst xmlns="http://schemas.openxmlformats.org/spreadsheetml/2006/main" count="376" uniqueCount="66">
  <si>
    <t>Region</t>
  </si>
  <si>
    <t>Name</t>
  </si>
  <si>
    <t>code_name</t>
  </si>
  <si>
    <t>Middle</t>
  </si>
  <si>
    <t>low</t>
  </si>
  <si>
    <t>high</t>
  </si>
  <si>
    <t>Model outputs</t>
  </si>
  <si>
    <t>Proportion difference</t>
  </si>
  <si>
    <t>Multiplication factor for calibration</t>
  </si>
  <si>
    <t>Pregnancies</t>
  </si>
  <si>
    <t>Sub-Saharan Africa</t>
  </si>
  <si>
    <t>number_pregnancies_10pct_inflation</t>
  </si>
  <si>
    <t>Cases</t>
  </si>
  <si>
    <t>Neonatal preterm birth</t>
  </si>
  <si>
    <t>pt_incident_cases_pt</t>
  </si>
  <si>
    <t>Deaths</t>
  </si>
  <si>
    <t>BLANK</t>
  </si>
  <si>
    <t>Preterm non-RDS</t>
  </si>
  <si>
    <t>pt_mortalities_pt</t>
  </si>
  <si>
    <t>Maternal hemorrhage</t>
  </si>
  <si>
    <t>hm_incident_cases</t>
  </si>
  <si>
    <t>hm_mortalities</t>
  </si>
  <si>
    <t>Maternal obstructed labor and uterine rupture</t>
  </si>
  <si>
    <t>ol_incident_cases</t>
  </si>
  <si>
    <t>ol_mortalities</t>
  </si>
  <si>
    <t>Maternal sepsis and other maternal infections</t>
  </si>
  <si>
    <t>msep_incidence</t>
  </si>
  <si>
    <t>msep_mortalities</t>
  </si>
  <si>
    <t>live_births</t>
  </si>
  <si>
    <t>asx_num_live_births</t>
  </si>
  <si>
    <t>Stillbirths</t>
  </si>
  <si>
    <t>asx_stillbirth_incidence</t>
  </si>
  <si>
    <t>Preterm RDS</t>
  </si>
  <si>
    <t>rds_mortalities</t>
  </si>
  <si>
    <t>Neonatal encephalopathy due to birth asphyxia and trauma</t>
  </si>
  <si>
    <t>asx_birth_Asphyxia_incidence</t>
  </si>
  <si>
    <t>asx_encephalopathy_mortality</t>
  </si>
  <si>
    <t>Neonatal sepsis and other neonatal infections</t>
  </si>
  <si>
    <t>nsep_incident_cases</t>
  </si>
  <si>
    <t>nsep_mortalities</t>
  </si>
  <si>
    <t>DALYs</t>
  </si>
  <si>
    <t>Wasting DALYs</t>
  </si>
  <si>
    <t>wasting_dalys</t>
  </si>
  <si>
    <t>Stunting DALYs</t>
  </si>
  <si>
    <t>stunting_dalys</t>
  </si>
  <si>
    <t>Total Anemia Prevalence</t>
  </si>
  <si>
    <t>Moderate Anemia Prevalence</t>
  </si>
  <si>
    <t>Severe Anemia Prevalence</t>
  </si>
  <si>
    <t>South Asia</t>
  </si>
  <si>
    <t>Total Anemia YLDs</t>
  </si>
  <si>
    <t>Other LMICs</t>
  </si>
  <si>
    <t>Other infant conditions</t>
  </si>
  <si>
    <t>oth_inf_incident_cases</t>
  </si>
  <si>
    <t>oth_inf_mortalities</t>
  </si>
  <si>
    <t>Bleeding related anemia</t>
  </si>
  <si>
    <t>Pre-eclampsia</t>
  </si>
  <si>
    <t>preecl_incident_cases</t>
  </si>
  <si>
    <t>preecl_mortalities</t>
  </si>
  <si>
    <t>Proportion</t>
  </si>
  <si>
    <t>Proportion of term births that are SGA</t>
  </si>
  <si>
    <t>Proportion of preterm births that are SGA</t>
  </si>
  <si>
    <t>Cases (% of births)</t>
  </si>
  <si>
    <t>wasting_prop_wasting_occurs_1</t>
  </si>
  <si>
    <t>pt_incident_cases_sga_pt</t>
  </si>
  <si>
    <t>pt_incident_cases_sga_term</t>
  </si>
  <si>
    <t>an_bleeding_related_anemia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</si>
</sst>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%"/>
    <numFmt numFmtId="167" formatCode="0.00000000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ourier New"/>
      <family val="3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>
      <alignment horizontal="left" vertical="center"/>
    </xf>
    <xf numFmtId="164" fontId="0" fillId="0" borderId="0" xfId="1" applyFont="1"/>
    <xf numFmtId="11" fontId="0" fillId="0" borderId="0" xfId="0" applyNumberFormat="1"/>
    <xf numFmtId="9" fontId="0" fillId="0" borderId="0" xfId="0" applyNumberFormat="1"/>
    <xf numFmtId="9" fontId="2" fillId="0" borderId="0" xfId="0" applyNumberFormat="1" applyFont="1"/>
    <xf numFmtId="0" fontId="0" fillId="3" borderId="0" xfId="0" applyFill="1"/>
    <xf numFmtId="0" fontId="0" fillId="0" borderId="2" xfId="0" applyBorder="1" applyProtection="1">
      <protection locked="0"/>
    </xf>
    <xf numFmtId="3" fontId="2" fillId="0" borderId="0" xfId="0" applyNumberFormat="1" applyFont="1" applyAlignment="1">
      <alignment horizontal="left" wrapText="1"/>
    </xf>
    <xf numFmtId="164" fontId="0" fillId="0" borderId="0" xfId="1" applyFont="1" applyFill="1"/>
    <xf numFmtId="0" fontId="0" fillId="0" borderId="0" xfId="0" applyFill="1"/>
    <xf numFmtId="165" fontId="0" fillId="0" borderId="0" xfId="0" applyNumberFormat="1" applyFill="1"/>
    <xf numFmtId="0" fontId="2" fillId="0" borderId="0" xfId="0" applyFont="1" applyFill="1"/>
    <xf numFmtId="0" fontId="3" fillId="0" borderId="0" xfId="0" applyFont="1" applyFill="1" applyAlignment="1">
      <alignment horizontal="left" vertical="center"/>
    </xf>
    <xf numFmtId="166" fontId="0" fillId="0" borderId="0" xfId="0" applyNumberFormat="1" applyFill="1"/>
    <xf numFmtId="167" fontId="0" fillId="0" borderId="0" xfId="0" applyNumberFormat="1" applyFill="1"/>
    <xf numFmtId="0" fontId="0" fillId="0" borderId="2" xfId="0" applyFill="1" applyBorder="1" applyProtection="1">
      <protection locked="0"/>
    </xf>
    <xf numFmtId="3" fontId="0" fillId="0" borderId="0" xfId="0" applyNumberFormat="1" applyFill="1"/>
    <xf numFmtId="9" fontId="2" fillId="0" borderId="0" xfId="0" applyNumberFormat="1" applyFont="1" applyFill="1"/>
    <xf numFmtId="9" fontId="0" fillId="0" borderId="0" xfId="0" applyNumberFormat="1" applyFill="1"/>
    <xf numFmtId="3" fontId="2" fillId="0" borderId="0" xfId="0" applyNumberFormat="1" applyFont="1" applyFill="1"/>
  </cellXfs>
  <cellStyles count="2">
    <cellStyle name="Comma" xfId="1" builtinId="3"/>
    <cellStyle name="Normal" xfId="0" builtinId="0"/>
  </cellStyles>
  <dxfs count="4"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4692-1C26-4C26-8F9A-D7D794E96D75}">
  <dimension ref="A1:M32"/>
  <sheetViews>
    <sheetView topLeftCell="A21" workbookViewId="0">
      <selection activeCell="C28" sqref="C28"/>
    </sheetView>
  </sheetViews>
  <sheetFormatPr defaultRowHeight="14.5" x14ac:dyDescent="0.35"/>
  <cols>
    <col min="1" max="1" width="19" customWidth="1"/>
    <col min="2" max="2" width="23.453125" customWidth="1"/>
    <col min="3" max="3" width="38.54296875" customWidth="1"/>
    <col min="4" max="4" width="14.81640625" customWidth="1"/>
    <col min="6" max="6" width="14.26953125" bestFit="1" customWidth="1"/>
    <col min="7" max="8" width="9.1796875" customWidth="1"/>
    <col min="10" max="10" width="9.1796875" customWidth="1"/>
    <col min="12" max="12" width="32.453125" customWidth="1"/>
  </cols>
  <sheetData>
    <row r="1" spans="1:13" x14ac:dyDescent="0.35">
      <c r="A1" s="15"/>
      <c r="B1" s="15" t="s">
        <v>0</v>
      </c>
      <c r="C1" s="15" t="s">
        <v>1</v>
      </c>
      <c r="D1" s="15" t="s">
        <v>2</v>
      </c>
      <c r="E1" s="15"/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6" t="s">
        <v>8</v>
      </c>
      <c r="L1" s="5"/>
    </row>
    <row r="2" spans="1:13" s="1" customFormat="1" x14ac:dyDescent="0.35">
      <c r="A2" s="15" t="s">
        <v>9</v>
      </c>
      <c r="B2" s="17" t="s">
        <v>10</v>
      </c>
      <c r="C2" s="17" t="s">
        <v>11</v>
      </c>
      <c r="D2" s="17"/>
      <c r="E2" s="17">
        <v>2019</v>
      </c>
      <c r="F2" s="17">
        <v>41456018.850000001</v>
      </c>
      <c r="G2" s="15"/>
      <c r="H2" s="15"/>
      <c r="I2" s="15"/>
      <c r="J2" s="15"/>
      <c r="K2" s="16"/>
      <c r="L2" s="2"/>
    </row>
    <row r="3" spans="1:13" x14ac:dyDescent="0.35">
      <c r="A3" s="15" t="s">
        <v>12</v>
      </c>
      <c r="B3" s="17" t="s">
        <v>10</v>
      </c>
      <c r="C3" s="17" t="s">
        <v>13</v>
      </c>
      <c r="D3" s="17" t="s">
        <v>14</v>
      </c>
      <c r="E3" s="17">
        <v>2019</v>
      </c>
      <c r="F3" s="17">
        <v>4529977.5410000002</v>
      </c>
      <c r="G3" s="17">
        <v>4484375.7939999998</v>
      </c>
      <c r="H3" s="17">
        <v>4575951.2220000001</v>
      </c>
      <c r="I3" s="18"/>
      <c r="J3" s="19"/>
      <c r="K3" s="16"/>
      <c r="L3" s="5"/>
    </row>
    <row r="4" spans="1:13" x14ac:dyDescent="0.35">
      <c r="A4" s="15" t="s">
        <v>15</v>
      </c>
      <c r="B4" s="15" t="s">
        <v>10</v>
      </c>
      <c r="C4" s="15" t="s">
        <v>13</v>
      </c>
      <c r="D4" s="15" t="s">
        <v>16</v>
      </c>
      <c r="E4" s="15">
        <v>2019</v>
      </c>
      <c r="F4" s="15">
        <v>247970.94029999999</v>
      </c>
      <c r="G4" s="15">
        <v>307904.30420000001</v>
      </c>
      <c r="H4" s="15">
        <v>201267.65789999999</v>
      </c>
      <c r="I4" s="18"/>
      <c r="J4" s="19"/>
      <c r="K4" s="16"/>
      <c r="L4" s="5"/>
    </row>
    <row r="5" spans="1:13" x14ac:dyDescent="0.35">
      <c r="A5" s="15" t="s">
        <v>15</v>
      </c>
      <c r="B5" s="15" t="s">
        <v>10</v>
      </c>
      <c r="C5" s="17" t="s">
        <v>17</v>
      </c>
      <c r="D5" s="17" t="s">
        <v>18</v>
      </c>
      <c r="E5" s="15">
        <v>2019</v>
      </c>
      <c r="F5" s="17">
        <f>F4*0.35</f>
        <v>86789.829104999997</v>
      </c>
      <c r="G5" s="17"/>
      <c r="H5" s="17"/>
      <c r="I5" s="18"/>
      <c r="J5" s="19"/>
      <c r="K5" s="16"/>
      <c r="L5" s="5"/>
    </row>
    <row r="6" spans="1:13" x14ac:dyDescent="0.35">
      <c r="A6" s="15" t="s">
        <v>12</v>
      </c>
      <c r="B6" s="17" t="s">
        <v>10</v>
      </c>
      <c r="C6" s="17" t="s">
        <v>19</v>
      </c>
      <c r="D6" s="17" t="s">
        <v>20</v>
      </c>
      <c r="E6" s="17">
        <v>2019</v>
      </c>
      <c r="F6" s="17">
        <v>5365475.0480000004</v>
      </c>
      <c r="G6" s="17">
        <v>6769434.4079999998</v>
      </c>
      <c r="H6" s="17">
        <v>4147730.0430000001</v>
      </c>
      <c r="I6" s="18"/>
      <c r="J6" s="20"/>
      <c r="K6" s="16"/>
      <c r="L6" s="5"/>
    </row>
    <row r="7" spans="1:13" x14ac:dyDescent="0.35">
      <c r="A7" s="15" t="s">
        <v>15</v>
      </c>
      <c r="B7" s="15" t="s">
        <v>10</v>
      </c>
      <c r="C7" s="15" t="s">
        <v>19</v>
      </c>
      <c r="D7" s="15" t="s">
        <v>21</v>
      </c>
      <c r="E7" s="15">
        <v>2019</v>
      </c>
      <c r="F7" s="15">
        <v>16921.16764</v>
      </c>
      <c r="G7" s="15">
        <v>21290.496190000002</v>
      </c>
      <c r="H7" s="15">
        <v>13400.660749999999</v>
      </c>
      <c r="I7" s="18"/>
      <c r="J7" s="20"/>
      <c r="K7" s="16"/>
      <c r="L7" s="5"/>
    </row>
    <row r="8" spans="1:13" x14ac:dyDescent="0.35">
      <c r="A8" s="15" t="s">
        <v>12</v>
      </c>
      <c r="B8" s="17" t="s">
        <v>10</v>
      </c>
      <c r="C8" s="17" t="s">
        <v>22</v>
      </c>
      <c r="D8" s="17" t="s">
        <v>23</v>
      </c>
      <c r="E8" s="17">
        <v>2019</v>
      </c>
      <c r="F8" s="17">
        <v>1698352.0789999999</v>
      </c>
      <c r="G8" s="17">
        <v>2060421.747</v>
      </c>
      <c r="H8" s="17">
        <v>1392356.763</v>
      </c>
      <c r="I8" s="18"/>
      <c r="J8" s="20"/>
      <c r="K8" s="16"/>
      <c r="L8" s="5"/>
    </row>
    <row r="9" spans="1:13" x14ac:dyDescent="0.35">
      <c r="A9" s="15" t="s">
        <v>15</v>
      </c>
      <c r="B9" s="15" t="s">
        <v>10</v>
      </c>
      <c r="C9" s="15" t="s">
        <v>22</v>
      </c>
      <c r="D9" s="15" t="s">
        <v>24</v>
      </c>
      <c r="E9" s="15">
        <v>2019</v>
      </c>
      <c r="F9" s="17">
        <v>5646.0958950000004</v>
      </c>
      <c r="G9" s="17">
        <v>4439.7577700000002</v>
      </c>
      <c r="H9" s="17">
        <v>7085.8366480000004</v>
      </c>
      <c r="I9" s="18"/>
      <c r="J9" s="20"/>
      <c r="K9" s="16"/>
      <c r="L9" s="5"/>
    </row>
    <row r="10" spans="1:13" x14ac:dyDescent="0.35">
      <c r="A10" s="15" t="s">
        <v>12</v>
      </c>
      <c r="B10" s="17" t="s">
        <v>10</v>
      </c>
      <c r="C10" s="17" t="s">
        <v>25</v>
      </c>
      <c r="D10" s="17" t="s">
        <v>26</v>
      </c>
      <c r="E10" s="17">
        <v>2019</v>
      </c>
      <c r="F10" s="17">
        <v>5097502.6880000001</v>
      </c>
      <c r="G10" s="17">
        <v>6495437.4390000002</v>
      </c>
      <c r="H10" s="17">
        <v>3911650.648</v>
      </c>
      <c r="I10" s="18"/>
      <c r="J10" s="20"/>
      <c r="K10" s="16"/>
      <c r="L10" s="5"/>
    </row>
    <row r="11" spans="1:13" x14ac:dyDescent="0.35">
      <c r="A11" s="15" t="s">
        <v>15</v>
      </c>
      <c r="B11" s="15" t="s">
        <v>10</v>
      </c>
      <c r="C11" s="15" t="s">
        <v>25</v>
      </c>
      <c r="D11" s="15" t="s">
        <v>27</v>
      </c>
      <c r="E11" s="15">
        <v>2019</v>
      </c>
      <c r="F11" s="15">
        <v>11592.028</v>
      </c>
      <c r="G11" s="15">
        <v>13967.62141</v>
      </c>
      <c r="H11" s="15">
        <v>9490.9354600000006</v>
      </c>
      <c r="I11" s="18"/>
      <c r="J11" s="20"/>
      <c r="K11" s="16"/>
      <c r="L11" s="5"/>
    </row>
    <row r="12" spans="1:13" s="1" customFormat="1" x14ac:dyDescent="0.35">
      <c r="A12" s="15"/>
      <c r="B12" s="17" t="s">
        <v>10</v>
      </c>
      <c r="C12" s="17" t="s">
        <v>28</v>
      </c>
      <c r="D12" s="17" t="s">
        <v>29</v>
      </c>
      <c r="E12" s="15">
        <v>2019</v>
      </c>
      <c r="F12" s="17">
        <v>37687289.859999999</v>
      </c>
      <c r="G12" s="15"/>
      <c r="H12" s="15"/>
      <c r="I12" s="18"/>
      <c r="J12" s="20"/>
      <c r="K12" s="16"/>
      <c r="L12" s="2"/>
      <c r="M12" s="6"/>
    </row>
    <row r="13" spans="1:13" s="1" customFormat="1" x14ac:dyDescent="0.35">
      <c r="A13" s="15" t="s">
        <v>30</v>
      </c>
      <c r="B13" s="15" t="s">
        <v>10</v>
      </c>
      <c r="C13" s="17" t="s">
        <v>30</v>
      </c>
      <c r="D13" s="17" t="s">
        <v>31</v>
      </c>
      <c r="E13" s="17">
        <v>2019</v>
      </c>
      <c r="F13" s="17">
        <v>690562</v>
      </c>
      <c r="G13" s="17"/>
      <c r="H13" s="17"/>
      <c r="I13" s="18"/>
      <c r="J13" s="20"/>
      <c r="K13" s="16"/>
      <c r="L13" s="2"/>
    </row>
    <row r="14" spans="1:13" x14ac:dyDescent="0.35">
      <c r="A14" s="15"/>
      <c r="B14" s="15" t="s">
        <v>10</v>
      </c>
      <c r="C14" s="17" t="s">
        <v>32</v>
      </c>
      <c r="D14" s="17" t="s">
        <v>33</v>
      </c>
      <c r="E14" s="17">
        <v>2019</v>
      </c>
      <c r="F14" s="17">
        <f>F4*0.65</f>
        <v>161181.111195</v>
      </c>
      <c r="G14" s="17"/>
      <c r="H14" s="17"/>
      <c r="I14" s="18"/>
      <c r="J14" s="20"/>
      <c r="K14" s="16"/>
      <c r="L14" s="5"/>
    </row>
    <row r="15" spans="1:13" x14ac:dyDescent="0.35">
      <c r="A15" s="15" t="s">
        <v>12</v>
      </c>
      <c r="B15" s="17" t="s">
        <v>10</v>
      </c>
      <c r="C15" s="17" t="s">
        <v>34</v>
      </c>
      <c r="D15" s="17" t="s">
        <v>35</v>
      </c>
      <c r="E15" s="17">
        <v>2019</v>
      </c>
      <c r="F15" s="17">
        <v>804020.48190000001</v>
      </c>
      <c r="G15" s="17">
        <v>1109839.6259999999</v>
      </c>
      <c r="H15" s="17">
        <v>584784.44140000001</v>
      </c>
      <c r="I15" s="18"/>
      <c r="J15" s="20"/>
      <c r="K15" s="16"/>
      <c r="L15" s="5"/>
    </row>
    <row r="16" spans="1:13" x14ac:dyDescent="0.35">
      <c r="A16" s="15" t="s">
        <v>15</v>
      </c>
      <c r="B16" s="15" t="s">
        <v>10</v>
      </c>
      <c r="C16" s="15" t="s">
        <v>34</v>
      </c>
      <c r="D16" s="15" t="s">
        <v>36</v>
      </c>
      <c r="E16" s="15">
        <v>2019</v>
      </c>
      <c r="F16" s="15">
        <v>281277.57980000001</v>
      </c>
      <c r="G16" s="15">
        <v>348055.68290000001</v>
      </c>
      <c r="H16" s="15">
        <v>225100.25880000001</v>
      </c>
      <c r="I16" s="18"/>
      <c r="J16" s="20"/>
      <c r="K16" s="16"/>
      <c r="L16" s="5"/>
    </row>
    <row r="17" spans="1:12" x14ac:dyDescent="0.35">
      <c r="A17" s="15" t="s">
        <v>12</v>
      </c>
      <c r="B17" s="17" t="s">
        <v>10</v>
      </c>
      <c r="C17" s="17" t="s">
        <v>37</v>
      </c>
      <c r="D17" s="17" t="s">
        <v>38</v>
      </c>
      <c r="E17" s="17">
        <v>2019</v>
      </c>
      <c r="F17" s="17">
        <v>1732108.237</v>
      </c>
      <c r="G17" s="17">
        <v>2340108.4539999999</v>
      </c>
      <c r="H17" s="17">
        <v>1273283.1270000001</v>
      </c>
      <c r="I17" s="18"/>
      <c r="J17" s="20"/>
      <c r="K17" s="16"/>
      <c r="L17" s="5"/>
    </row>
    <row r="18" spans="1:12" x14ac:dyDescent="0.35">
      <c r="A18" s="15" t="s">
        <v>15</v>
      </c>
      <c r="B18" s="15" t="s">
        <v>10</v>
      </c>
      <c r="C18" s="15" t="s">
        <v>37</v>
      </c>
      <c r="D18" s="15" t="s">
        <v>39</v>
      </c>
      <c r="E18" s="15">
        <v>2019</v>
      </c>
      <c r="F18" s="15">
        <v>122961.647</v>
      </c>
      <c r="G18" s="15">
        <v>157892.7133</v>
      </c>
      <c r="H18" s="15">
        <v>96940.724069999997</v>
      </c>
      <c r="I18" s="18"/>
      <c r="J18" s="20"/>
      <c r="K18" s="16"/>
      <c r="L18" s="5"/>
    </row>
    <row r="19" spans="1:12" x14ac:dyDescent="0.35">
      <c r="A19" s="15" t="s">
        <v>12</v>
      </c>
      <c r="B19" s="15" t="s">
        <v>10</v>
      </c>
      <c r="C19" s="17" t="s">
        <v>51</v>
      </c>
      <c r="D19" s="15" t="s">
        <v>52</v>
      </c>
      <c r="E19" s="15">
        <v>2019</v>
      </c>
      <c r="F19" s="21">
        <v>210812653</v>
      </c>
      <c r="G19" s="15"/>
      <c r="H19" s="15"/>
      <c r="I19" s="15"/>
      <c r="J19" s="15"/>
      <c r="K19" s="15"/>
    </row>
    <row r="20" spans="1:12" x14ac:dyDescent="0.35">
      <c r="A20" s="15" t="s">
        <v>15</v>
      </c>
      <c r="B20" s="15" t="s">
        <v>10</v>
      </c>
      <c r="C20" s="17" t="s">
        <v>51</v>
      </c>
      <c r="D20" s="15" t="s">
        <v>53</v>
      </c>
      <c r="E20" s="15">
        <v>2019</v>
      </c>
      <c r="F20" s="15">
        <v>502459</v>
      </c>
      <c r="G20" s="15"/>
      <c r="H20" s="15"/>
      <c r="I20" s="15"/>
      <c r="J20" s="15"/>
      <c r="K20" s="15"/>
    </row>
    <row r="21" spans="1:12" x14ac:dyDescent="0.35">
      <c r="A21" s="15" t="s">
        <v>12</v>
      </c>
      <c r="B21" s="15" t="s">
        <v>10</v>
      </c>
      <c r="C21" s="17" t="s">
        <v>55</v>
      </c>
      <c r="D21" s="15" t="s">
        <v>56</v>
      </c>
      <c r="E21" s="15">
        <v>2019</v>
      </c>
      <c r="F21" s="22">
        <v>8163672</v>
      </c>
      <c r="G21" s="15"/>
      <c r="H21" s="15"/>
      <c r="I21" s="15"/>
      <c r="J21" s="15"/>
      <c r="K21" s="15"/>
    </row>
    <row r="22" spans="1:12" x14ac:dyDescent="0.35">
      <c r="A22" s="15" t="s">
        <v>15</v>
      </c>
      <c r="B22" s="15" t="s">
        <v>10</v>
      </c>
      <c r="C22" s="17" t="s">
        <v>55</v>
      </c>
      <c r="D22" s="15" t="s">
        <v>57</v>
      </c>
      <c r="E22" s="15">
        <v>2019</v>
      </c>
      <c r="F22" s="22">
        <v>10872</v>
      </c>
      <c r="G22" s="15"/>
      <c r="H22" s="15"/>
      <c r="I22" s="15"/>
      <c r="J22" s="15"/>
      <c r="K22" s="15"/>
    </row>
    <row r="23" spans="1:12" x14ac:dyDescent="0.35">
      <c r="A23" s="15" t="s">
        <v>61</v>
      </c>
      <c r="B23" s="15" t="s">
        <v>10</v>
      </c>
      <c r="C23" s="17" t="s">
        <v>41</v>
      </c>
      <c r="D23" s="15" t="s">
        <v>62</v>
      </c>
      <c r="E23" s="15">
        <v>2019</v>
      </c>
      <c r="F23" s="23">
        <v>0.13</v>
      </c>
      <c r="G23" s="15"/>
      <c r="H23" s="15"/>
      <c r="I23" s="15"/>
      <c r="J23" s="15"/>
      <c r="K23" s="15"/>
    </row>
    <row r="24" spans="1:12" s="1" customFormat="1" x14ac:dyDescent="0.35">
      <c r="A24" s="15" t="s">
        <v>40</v>
      </c>
      <c r="B24" s="15" t="s">
        <v>10</v>
      </c>
      <c r="C24" s="15" t="s">
        <v>41</v>
      </c>
      <c r="D24" s="15" t="s">
        <v>42</v>
      </c>
      <c r="E24" s="15">
        <v>2019</v>
      </c>
      <c r="F24" s="14">
        <v>27357090</v>
      </c>
      <c r="G24" s="15"/>
      <c r="H24" s="15"/>
      <c r="I24" s="15"/>
      <c r="J24" s="15"/>
      <c r="K24" s="15"/>
    </row>
    <row r="25" spans="1:12" s="1" customFormat="1" x14ac:dyDescent="0.35">
      <c r="A25" s="15" t="s">
        <v>40</v>
      </c>
      <c r="B25" s="15" t="s">
        <v>10</v>
      </c>
      <c r="C25" s="15" t="s">
        <v>43</v>
      </c>
      <c r="D25" s="15" t="s">
        <v>44</v>
      </c>
      <c r="E25" s="15">
        <v>2019</v>
      </c>
      <c r="F25" s="22">
        <v>3520709</v>
      </c>
      <c r="G25" s="15"/>
      <c r="H25" s="15"/>
      <c r="I25" s="15"/>
      <c r="J25" s="15"/>
      <c r="K25" s="15"/>
    </row>
    <row r="26" spans="1:12" x14ac:dyDescent="0.35">
      <c r="A26" s="15" t="s">
        <v>58</v>
      </c>
      <c r="B26" s="15" t="s">
        <v>10</v>
      </c>
      <c r="C26" s="15" t="s">
        <v>54</v>
      </c>
      <c r="D26" s="15" t="s">
        <v>65</v>
      </c>
      <c r="E26" s="15">
        <v>2019</v>
      </c>
      <c r="F26" s="24">
        <v>0.2</v>
      </c>
      <c r="G26" s="15"/>
      <c r="H26" s="15"/>
      <c r="I26" s="15"/>
      <c r="J26" s="15"/>
      <c r="K26" s="15"/>
    </row>
    <row r="27" spans="1:12" x14ac:dyDescent="0.35">
      <c r="A27" s="15" t="s">
        <v>58</v>
      </c>
      <c r="B27" s="15" t="s">
        <v>10</v>
      </c>
      <c r="C27" s="15" t="s">
        <v>60</v>
      </c>
      <c r="D27" s="15" t="s">
        <v>63</v>
      </c>
      <c r="E27" s="15">
        <v>2019</v>
      </c>
      <c r="F27" s="24">
        <v>7.0000000000000007E-2</v>
      </c>
      <c r="G27" s="15"/>
      <c r="H27" s="15"/>
      <c r="I27" s="15"/>
      <c r="J27" s="15"/>
      <c r="K27" s="15"/>
    </row>
    <row r="28" spans="1:12" x14ac:dyDescent="0.35">
      <c r="A28" s="15" t="s">
        <v>58</v>
      </c>
      <c r="B28" s="15" t="s">
        <v>10</v>
      </c>
      <c r="C28" s="15" t="s">
        <v>59</v>
      </c>
      <c r="D28" s="15" t="s">
        <v>64</v>
      </c>
      <c r="E28" s="15">
        <v>2019</v>
      </c>
      <c r="F28" s="24">
        <v>0.16</v>
      </c>
      <c r="G28" s="15"/>
      <c r="H28" s="15"/>
      <c r="I28" s="15"/>
      <c r="J28" s="15"/>
      <c r="K28" s="15"/>
    </row>
    <row r="29" spans="1:12" s="11" customFormat="1" x14ac:dyDescent="0.35">
      <c r="A29" s="15" t="s">
        <v>40</v>
      </c>
      <c r="B29" s="15" t="s">
        <v>10</v>
      </c>
      <c r="C29" s="15" t="s">
        <v>49</v>
      </c>
      <c r="D29" s="15"/>
      <c r="E29" s="15">
        <v>2019</v>
      </c>
      <c r="F29" s="22">
        <v>2968697</v>
      </c>
      <c r="G29" s="15"/>
      <c r="H29" s="15"/>
      <c r="I29" s="15"/>
      <c r="J29" s="15"/>
      <c r="K29" s="15"/>
    </row>
    <row r="30" spans="1:12" s="11" customFormat="1" x14ac:dyDescent="0.35">
      <c r="A30" s="15" t="s">
        <v>12</v>
      </c>
      <c r="B30" s="15" t="s">
        <v>10</v>
      </c>
      <c r="C30" s="15" t="s">
        <v>45</v>
      </c>
      <c r="D30" s="15"/>
      <c r="E30" s="15">
        <v>2019</v>
      </c>
      <c r="F30" s="14">
        <v>95381485</v>
      </c>
      <c r="G30" s="15"/>
      <c r="H30" s="15"/>
      <c r="I30" s="15"/>
      <c r="J30" s="15"/>
      <c r="K30" s="15"/>
    </row>
    <row r="31" spans="1:12" s="11" customFormat="1" x14ac:dyDescent="0.35">
      <c r="A31" s="15" t="s">
        <v>12</v>
      </c>
      <c r="B31" s="15" t="s">
        <v>10</v>
      </c>
      <c r="C31" s="15" t="s">
        <v>46</v>
      </c>
      <c r="D31" s="15"/>
      <c r="E31" s="15">
        <v>2019</v>
      </c>
      <c r="F31" s="14">
        <v>45038843</v>
      </c>
      <c r="G31" s="15"/>
      <c r="H31" s="15"/>
      <c r="I31" s="15"/>
      <c r="J31" s="15"/>
      <c r="K31" s="15"/>
    </row>
    <row r="32" spans="1:12" s="11" customFormat="1" x14ac:dyDescent="0.35">
      <c r="A32" s="15" t="s">
        <v>12</v>
      </c>
      <c r="B32" s="15" t="s">
        <v>10</v>
      </c>
      <c r="C32" s="15" t="s">
        <v>47</v>
      </c>
      <c r="D32" s="15"/>
      <c r="E32" s="15">
        <v>2019</v>
      </c>
      <c r="F32" s="14">
        <v>3375445</v>
      </c>
      <c r="G32" s="15"/>
      <c r="H32" s="15"/>
      <c r="I32" s="15"/>
      <c r="J32" s="15"/>
      <c r="K32" s="15"/>
    </row>
  </sheetData>
  <conditionalFormatting sqref="F19">
    <cfRule type="expression" dxfId="3" priority="1">
      <formula>COUNTIF(O19:T19,"&lt;&gt;" &amp; "")&gt;0</formula>
    </cfRule>
    <cfRule type="expression" dxfId="2" priority="2">
      <formula>AND(COUNTIF(O19:T19,"&lt;&gt;" &amp; "")&gt;0,NOT(ISBLANK(F19)))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C1830-4234-4B52-B669-C0DF777FF657}">
  <dimension ref="A1:H32"/>
  <sheetViews>
    <sheetView tabSelected="1" topLeftCell="A19" workbookViewId="0">
      <selection activeCell="F26" sqref="A1:H32"/>
    </sheetView>
  </sheetViews>
  <sheetFormatPr defaultRowHeight="14.5" x14ac:dyDescent="0.35"/>
  <cols>
    <col min="2" max="2" width="16.7265625" customWidth="1"/>
    <col min="3" max="3" width="32.54296875" customWidth="1"/>
    <col min="6" max="6" width="32.7265625" customWidth="1"/>
  </cols>
  <sheetData>
    <row r="1" spans="1:8" x14ac:dyDescent="0.35">
      <c r="A1" s="15"/>
      <c r="B1" s="15" t="s">
        <v>0</v>
      </c>
      <c r="C1" s="15" t="s">
        <v>1</v>
      </c>
      <c r="D1" s="15" t="s">
        <v>2</v>
      </c>
      <c r="E1" s="15"/>
      <c r="F1" s="15" t="s">
        <v>3</v>
      </c>
      <c r="G1" s="15" t="s">
        <v>4</v>
      </c>
      <c r="H1" s="15" t="s">
        <v>5</v>
      </c>
    </row>
    <row r="2" spans="1:8" s="1" customFormat="1" x14ac:dyDescent="0.35">
      <c r="A2" s="15" t="s">
        <v>12</v>
      </c>
      <c r="B2" s="17" t="s">
        <v>48</v>
      </c>
      <c r="C2" s="17" t="s">
        <v>11</v>
      </c>
      <c r="D2" s="17"/>
      <c r="E2" s="17">
        <v>2019</v>
      </c>
      <c r="F2" s="17">
        <v>36366126.640000001</v>
      </c>
      <c r="G2" s="15"/>
      <c r="H2" s="15"/>
    </row>
    <row r="3" spans="1:8" x14ac:dyDescent="0.35">
      <c r="A3" s="15" t="s">
        <v>12</v>
      </c>
      <c r="B3" s="17" t="s">
        <v>48</v>
      </c>
      <c r="C3" s="17" t="s">
        <v>13</v>
      </c>
      <c r="D3" s="17" t="s">
        <v>14</v>
      </c>
      <c r="E3" s="17">
        <v>2019</v>
      </c>
      <c r="F3" s="17">
        <v>4684608.0039999997</v>
      </c>
      <c r="G3" s="17">
        <v>4771407.9639999997</v>
      </c>
      <c r="H3" s="17">
        <v>4595621.8439999996</v>
      </c>
    </row>
    <row r="4" spans="1:8" x14ac:dyDescent="0.35">
      <c r="A4" s="15" t="s">
        <v>15</v>
      </c>
      <c r="B4" s="15" t="s">
        <v>48</v>
      </c>
      <c r="C4" s="15" t="s">
        <v>13</v>
      </c>
      <c r="D4" s="15" t="s">
        <v>16</v>
      </c>
      <c r="E4" s="15">
        <v>2019</v>
      </c>
      <c r="F4" s="15">
        <v>233422.49</v>
      </c>
      <c r="G4" s="15">
        <v>282726.5551</v>
      </c>
      <c r="H4" s="15">
        <v>193684.67869999999</v>
      </c>
    </row>
    <row r="5" spans="1:8" x14ac:dyDescent="0.35">
      <c r="A5" s="15" t="s">
        <v>15</v>
      </c>
      <c r="B5" s="15" t="s">
        <v>48</v>
      </c>
      <c r="C5" s="17" t="s">
        <v>17</v>
      </c>
      <c r="D5" s="17" t="s">
        <v>18</v>
      </c>
      <c r="E5" s="15">
        <v>2019</v>
      </c>
      <c r="F5" s="17">
        <f>F4*0.35</f>
        <v>81697.871499999994</v>
      </c>
      <c r="G5" s="15"/>
      <c r="H5" s="15"/>
    </row>
    <row r="6" spans="1:8" x14ac:dyDescent="0.35">
      <c r="A6" s="15" t="s">
        <v>12</v>
      </c>
      <c r="B6" s="17" t="s">
        <v>48</v>
      </c>
      <c r="C6" s="17" t="s">
        <v>19</v>
      </c>
      <c r="D6" s="17" t="s">
        <v>20</v>
      </c>
      <c r="E6" s="17">
        <v>2019</v>
      </c>
      <c r="F6" s="17">
        <v>3113734.963</v>
      </c>
      <c r="G6" s="17">
        <v>4103114.1469999999</v>
      </c>
      <c r="H6" s="17">
        <v>2338509.9610000001</v>
      </c>
    </row>
    <row r="7" spans="1:8" x14ac:dyDescent="0.35">
      <c r="A7" s="15" t="s">
        <v>15</v>
      </c>
      <c r="B7" s="15" t="s">
        <v>48</v>
      </c>
      <c r="C7" s="15" t="s">
        <v>19</v>
      </c>
      <c r="D7" s="15" t="s">
        <v>21</v>
      </c>
      <c r="E7" s="15">
        <v>2019</v>
      </c>
      <c r="F7" s="15">
        <v>21506.500080000002</v>
      </c>
      <c r="G7" s="15">
        <v>25996.451519999999</v>
      </c>
      <c r="H7" s="15">
        <v>17327.103879999999</v>
      </c>
    </row>
    <row r="8" spans="1:8" x14ac:dyDescent="0.35">
      <c r="A8" s="15" t="s">
        <v>12</v>
      </c>
      <c r="B8" s="17" t="s">
        <v>48</v>
      </c>
      <c r="C8" s="17" t="s">
        <v>22</v>
      </c>
      <c r="D8" s="17" t="s">
        <v>23</v>
      </c>
      <c r="E8" s="17">
        <v>2019</v>
      </c>
      <c r="F8" s="17">
        <v>2530142.2940000002</v>
      </c>
      <c r="G8" s="17">
        <v>3298887.338</v>
      </c>
      <c r="H8" s="17">
        <v>1955819.3589999999</v>
      </c>
    </row>
    <row r="9" spans="1:8" x14ac:dyDescent="0.35">
      <c r="A9" s="15" t="s">
        <v>15</v>
      </c>
      <c r="B9" s="15" t="s">
        <v>48</v>
      </c>
      <c r="C9" s="15" t="s">
        <v>22</v>
      </c>
      <c r="D9" s="15" t="s">
        <v>24</v>
      </c>
      <c r="E9" s="15">
        <v>2019</v>
      </c>
      <c r="F9" s="15">
        <v>3587.6392380000002</v>
      </c>
      <c r="G9" s="15">
        <v>4695.8561799999998</v>
      </c>
      <c r="H9" s="15">
        <v>2714.6720089999999</v>
      </c>
    </row>
    <row r="10" spans="1:8" x14ac:dyDescent="0.35">
      <c r="A10" s="15" t="s">
        <v>12</v>
      </c>
      <c r="B10" s="17" t="s">
        <v>48</v>
      </c>
      <c r="C10" s="17" t="s">
        <v>25</v>
      </c>
      <c r="D10" s="17" t="s">
        <v>26</v>
      </c>
      <c r="E10" s="17">
        <v>2019</v>
      </c>
      <c r="F10" s="17">
        <v>5495269.3449999997</v>
      </c>
      <c r="G10" s="17">
        <v>7117712.4630000005</v>
      </c>
      <c r="H10" s="17">
        <v>4058609.5040000002</v>
      </c>
    </row>
    <row r="11" spans="1:8" x14ac:dyDescent="0.35">
      <c r="A11" s="15" t="s">
        <v>15</v>
      </c>
      <c r="B11" s="15" t="s">
        <v>48</v>
      </c>
      <c r="C11" s="15" t="s">
        <v>25</v>
      </c>
      <c r="D11" s="15" t="s">
        <v>27</v>
      </c>
      <c r="E11" s="15">
        <v>2019</v>
      </c>
      <c r="F11" s="15">
        <v>2797.6542020000002</v>
      </c>
      <c r="G11" s="15">
        <v>3592.5305480000002</v>
      </c>
      <c r="H11" s="15">
        <v>2155.8471260000001</v>
      </c>
    </row>
    <row r="12" spans="1:8" s="1" customFormat="1" x14ac:dyDescent="0.35">
      <c r="A12" s="15" t="s">
        <v>12</v>
      </c>
      <c r="B12" s="17" t="s">
        <v>48</v>
      </c>
      <c r="C12" s="17" t="s">
        <v>28</v>
      </c>
      <c r="D12" s="17" t="s">
        <v>29</v>
      </c>
      <c r="E12" s="15">
        <v>2019</v>
      </c>
      <c r="F12" s="17">
        <v>33060115.129999999</v>
      </c>
      <c r="G12" s="15"/>
      <c r="H12" s="15"/>
    </row>
    <row r="13" spans="1:8" s="1" customFormat="1" x14ac:dyDescent="0.35">
      <c r="A13" s="15" t="s">
        <v>30</v>
      </c>
      <c r="B13" s="15" t="s">
        <v>48</v>
      </c>
      <c r="C13" s="17" t="s">
        <v>30</v>
      </c>
      <c r="D13" s="17" t="s">
        <v>31</v>
      </c>
      <c r="E13" s="15">
        <v>2020</v>
      </c>
      <c r="F13" s="17">
        <v>544298</v>
      </c>
      <c r="G13" s="17"/>
      <c r="H13" s="17"/>
    </row>
    <row r="14" spans="1:8" x14ac:dyDescent="0.35">
      <c r="A14" s="15" t="s">
        <v>15</v>
      </c>
      <c r="B14" s="15" t="s">
        <v>48</v>
      </c>
      <c r="C14" s="17" t="s">
        <v>32</v>
      </c>
      <c r="D14" s="17" t="s">
        <v>33</v>
      </c>
      <c r="E14" s="17">
        <v>2019</v>
      </c>
      <c r="F14" s="17">
        <f>F4*0.65</f>
        <v>151724.61850000001</v>
      </c>
      <c r="G14" s="15"/>
      <c r="H14" s="15"/>
    </row>
    <row r="15" spans="1:8" x14ac:dyDescent="0.35">
      <c r="A15" s="15" t="s">
        <v>12</v>
      </c>
      <c r="B15" s="17" t="s">
        <v>48</v>
      </c>
      <c r="C15" s="17" t="s">
        <v>34</v>
      </c>
      <c r="D15" s="17" t="s">
        <v>35</v>
      </c>
      <c r="E15" s="17">
        <v>2019</v>
      </c>
      <c r="F15" s="17">
        <v>316904.71059999999</v>
      </c>
      <c r="G15" s="17">
        <v>597493.69200000004</v>
      </c>
      <c r="H15" s="17">
        <v>170644.44709999999</v>
      </c>
    </row>
    <row r="16" spans="1:8" x14ac:dyDescent="0.35">
      <c r="A16" s="15" t="s">
        <v>15</v>
      </c>
      <c r="B16" s="15" t="s">
        <v>48</v>
      </c>
      <c r="C16" s="15" t="s">
        <v>34</v>
      </c>
      <c r="D16" s="15" t="s">
        <v>36</v>
      </c>
      <c r="E16" s="15">
        <v>2019</v>
      </c>
      <c r="F16" s="14">
        <v>204536.9564</v>
      </c>
      <c r="G16" s="15">
        <v>245327.0258</v>
      </c>
      <c r="H16" s="15">
        <v>168432.86199999999</v>
      </c>
    </row>
    <row r="17" spans="1:8" x14ac:dyDescent="0.35">
      <c r="A17" s="15" t="s">
        <v>12</v>
      </c>
      <c r="B17" s="17" t="s">
        <v>48</v>
      </c>
      <c r="C17" s="17" t="s">
        <v>37</v>
      </c>
      <c r="D17" s="17" t="s">
        <v>38</v>
      </c>
      <c r="E17" s="17">
        <v>2019</v>
      </c>
      <c r="F17" s="17">
        <v>1428840.3459999999</v>
      </c>
      <c r="G17" s="17">
        <v>1938413.6610000001</v>
      </c>
      <c r="H17" s="17">
        <v>1012922.242</v>
      </c>
    </row>
    <row r="18" spans="1:8" x14ac:dyDescent="0.35">
      <c r="A18" s="15" t="s">
        <v>15</v>
      </c>
      <c r="B18" s="15" t="s">
        <v>48</v>
      </c>
      <c r="C18" s="15" t="s">
        <v>37</v>
      </c>
      <c r="D18" s="15" t="s">
        <v>39</v>
      </c>
      <c r="E18" s="15">
        <v>2019</v>
      </c>
      <c r="F18" s="15">
        <v>55813.957490000001</v>
      </c>
      <c r="G18" s="15">
        <v>69910.703500000003</v>
      </c>
      <c r="H18" s="15">
        <v>44618.400580000001</v>
      </c>
    </row>
    <row r="19" spans="1:8" x14ac:dyDescent="0.35">
      <c r="A19" s="15" t="s">
        <v>12</v>
      </c>
      <c r="B19" s="15" t="s">
        <v>48</v>
      </c>
      <c r="C19" s="17" t="s">
        <v>51</v>
      </c>
      <c r="D19" s="15" t="s">
        <v>52</v>
      </c>
      <c r="E19" s="15">
        <v>2019</v>
      </c>
      <c r="F19" s="15">
        <v>258401859</v>
      </c>
      <c r="G19" s="15"/>
      <c r="H19" s="15"/>
    </row>
    <row r="20" spans="1:8" x14ac:dyDescent="0.35">
      <c r="A20" s="15" t="s">
        <v>15</v>
      </c>
      <c r="B20" s="15" t="s">
        <v>48</v>
      </c>
      <c r="C20" s="17" t="s">
        <v>51</v>
      </c>
      <c r="D20" s="15" t="s">
        <v>53</v>
      </c>
      <c r="E20" s="15">
        <v>2019</v>
      </c>
      <c r="F20" s="15">
        <v>149739</v>
      </c>
      <c r="G20" s="15"/>
      <c r="H20" s="15"/>
    </row>
    <row r="21" spans="1:8" x14ac:dyDescent="0.35">
      <c r="A21" s="15" t="s">
        <v>12</v>
      </c>
      <c r="B21" s="15" t="s">
        <v>48</v>
      </c>
      <c r="C21" s="17" t="s">
        <v>55</v>
      </c>
      <c r="D21" s="15" t="s">
        <v>56</v>
      </c>
      <c r="E21" s="15">
        <v>2019</v>
      </c>
      <c r="F21" s="25">
        <v>3838487</v>
      </c>
      <c r="G21" s="15"/>
      <c r="H21" s="15"/>
    </row>
    <row r="22" spans="1:8" x14ac:dyDescent="0.35">
      <c r="A22" s="15" t="s">
        <v>15</v>
      </c>
      <c r="B22" s="15" t="s">
        <v>48</v>
      </c>
      <c r="C22" s="17" t="s">
        <v>55</v>
      </c>
      <c r="D22" s="15" t="s">
        <v>57</v>
      </c>
      <c r="E22" s="15">
        <v>2019</v>
      </c>
      <c r="F22" s="25">
        <v>10338</v>
      </c>
      <c r="G22" s="15"/>
      <c r="H22" s="15"/>
    </row>
    <row r="23" spans="1:8" x14ac:dyDescent="0.35">
      <c r="A23" s="15" t="s">
        <v>61</v>
      </c>
      <c r="B23" s="15" t="s">
        <v>48</v>
      </c>
      <c r="C23" s="17" t="s">
        <v>41</v>
      </c>
      <c r="D23" s="15" t="s">
        <v>62</v>
      </c>
      <c r="E23" s="15">
        <v>2019</v>
      </c>
      <c r="F23" s="23">
        <v>0.33</v>
      </c>
      <c r="G23" s="15"/>
      <c r="H23" s="15"/>
    </row>
    <row r="24" spans="1:8" s="1" customFormat="1" x14ac:dyDescent="0.35">
      <c r="A24" s="15" t="s">
        <v>40</v>
      </c>
      <c r="B24" s="15" t="s">
        <v>48</v>
      </c>
      <c r="C24" s="15" t="s">
        <v>41</v>
      </c>
      <c r="D24" s="15" t="s">
        <v>42</v>
      </c>
      <c r="E24" s="15">
        <v>2019</v>
      </c>
      <c r="F24" s="14">
        <v>11065216</v>
      </c>
      <c r="G24" s="15"/>
      <c r="H24" s="15"/>
    </row>
    <row r="25" spans="1:8" s="1" customFormat="1" x14ac:dyDescent="0.35">
      <c r="A25" s="15" t="s">
        <v>40</v>
      </c>
      <c r="B25" s="15" t="s">
        <v>48</v>
      </c>
      <c r="C25" s="15" t="s">
        <v>43</v>
      </c>
      <c r="D25" s="15" t="s">
        <v>44</v>
      </c>
      <c r="E25" s="15">
        <v>2019</v>
      </c>
      <c r="F25" s="14">
        <v>1620418</v>
      </c>
      <c r="G25" s="15"/>
      <c r="H25" s="15"/>
    </row>
    <row r="26" spans="1:8" x14ac:dyDescent="0.35">
      <c r="A26" s="15" t="s">
        <v>58</v>
      </c>
      <c r="B26" s="15" t="s">
        <v>48</v>
      </c>
      <c r="C26" s="15" t="s">
        <v>54</v>
      </c>
      <c r="D26" s="15" t="s">
        <v>65</v>
      </c>
      <c r="E26" s="15">
        <v>2019</v>
      </c>
      <c r="F26" s="24">
        <v>0.2</v>
      </c>
      <c r="G26" s="15"/>
      <c r="H26" s="15"/>
    </row>
    <row r="27" spans="1:8" x14ac:dyDescent="0.35">
      <c r="A27" s="15" t="s">
        <v>58</v>
      </c>
      <c r="B27" s="15" t="s">
        <v>48</v>
      </c>
      <c r="C27" s="15" t="s">
        <v>60</v>
      </c>
      <c r="D27" s="15" t="s">
        <v>63</v>
      </c>
      <c r="E27" s="15">
        <v>2019</v>
      </c>
      <c r="F27" s="24">
        <v>0.18</v>
      </c>
      <c r="G27" s="15"/>
      <c r="H27" s="15"/>
    </row>
    <row r="28" spans="1:8" x14ac:dyDescent="0.35">
      <c r="A28" s="15" t="s">
        <v>58</v>
      </c>
      <c r="B28" s="15" t="s">
        <v>48</v>
      </c>
      <c r="C28" s="15" t="s">
        <v>59</v>
      </c>
      <c r="D28" s="15" t="s">
        <v>64</v>
      </c>
      <c r="E28" s="15">
        <v>2019</v>
      </c>
      <c r="F28" s="24">
        <v>0.51</v>
      </c>
      <c r="G28" s="15"/>
      <c r="H28" s="15"/>
    </row>
    <row r="29" spans="1:8" s="11" customFormat="1" x14ac:dyDescent="0.35">
      <c r="A29" s="15" t="s">
        <v>40</v>
      </c>
      <c r="B29" s="15" t="s">
        <v>48</v>
      </c>
      <c r="C29" s="15" t="s">
        <v>49</v>
      </c>
      <c r="D29" s="15"/>
      <c r="E29" s="15">
        <v>2019</v>
      </c>
      <c r="F29" s="14">
        <v>7692483</v>
      </c>
      <c r="G29" s="15"/>
      <c r="H29" s="15"/>
    </row>
    <row r="30" spans="1:8" s="11" customFormat="1" x14ac:dyDescent="0.35">
      <c r="A30" s="15" t="s">
        <v>12</v>
      </c>
      <c r="B30" s="15" t="s">
        <v>48</v>
      </c>
      <c r="C30" s="15" t="s">
        <v>45</v>
      </c>
      <c r="D30" s="15"/>
      <c r="E30" s="15">
        <v>2019</v>
      </c>
      <c r="F30" s="14">
        <v>226186459</v>
      </c>
      <c r="G30" s="15"/>
      <c r="H30" s="15"/>
    </row>
    <row r="31" spans="1:8" s="11" customFormat="1" x14ac:dyDescent="0.35">
      <c r="A31" s="15" t="s">
        <v>12</v>
      </c>
      <c r="B31" s="15" t="s">
        <v>48</v>
      </c>
      <c r="C31" s="15" t="s">
        <v>46</v>
      </c>
      <c r="D31" s="15"/>
      <c r="E31" s="15">
        <v>2019</v>
      </c>
      <c r="F31" s="14">
        <v>115598437</v>
      </c>
      <c r="G31" s="15"/>
      <c r="H31" s="15"/>
    </row>
    <row r="32" spans="1:8" s="11" customFormat="1" x14ac:dyDescent="0.35">
      <c r="A32" s="15" t="s">
        <v>12</v>
      </c>
      <c r="B32" s="15" t="s">
        <v>48</v>
      </c>
      <c r="C32" s="15" t="s">
        <v>47</v>
      </c>
      <c r="D32" s="15"/>
      <c r="E32" s="15">
        <v>2019</v>
      </c>
      <c r="F32" s="14">
        <v>9744816</v>
      </c>
      <c r="G32" s="15"/>
      <c r="H32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A5F1-B2C0-4823-9541-231790F21C59}">
  <dimension ref="A1:S306"/>
  <sheetViews>
    <sheetView topLeftCell="A13" workbookViewId="0">
      <selection activeCell="C14" sqref="A1:H32"/>
    </sheetView>
  </sheetViews>
  <sheetFormatPr defaultRowHeight="14.5" x14ac:dyDescent="0.35"/>
  <cols>
    <col min="1" max="1" width="21.7265625" customWidth="1"/>
    <col min="2" max="2" width="16.7265625" customWidth="1"/>
    <col min="3" max="3" width="41.26953125" customWidth="1"/>
    <col min="4" max="4" width="34.81640625" customWidth="1"/>
    <col min="6" max="6" width="24.54296875" customWidth="1"/>
    <col min="12" max="14" width="14.26953125" bestFit="1" customWidth="1"/>
  </cols>
  <sheetData>
    <row r="1" spans="1:19" x14ac:dyDescent="0.35"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R1" s="4"/>
      <c r="S1" s="5"/>
    </row>
    <row r="2" spans="1:19" x14ac:dyDescent="0.35">
      <c r="A2" t="s">
        <v>12</v>
      </c>
      <c r="B2" s="3" t="s">
        <v>50</v>
      </c>
      <c r="C2" s="3" t="s">
        <v>11</v>
      </c>
      <c r="D2" s="3"/>
      <c r="E2" s="3">
        <v>2019</v>
      </c>
      <c r="F2">
        <v>56174316</v>
      </c>
      <c r="H2" s="3"/>
    </row>
    <row r="3" spans="1:19" x14ac:dyDescent="0.35">
      <c r="A3" t="s">
        <v>12</v>
      </c>
      <c r="B3" s="3" t="s">
        <v>50</v>
      </c>
      <c r="C3" s="3" t="s">
        <v>13</v>
      </c>
      <c r="D3" s="3" t="s">
        <v>14</v>
      </c>
      <c r="E3" s="3">
        <v>2019</v>
      </c>
      <c r="F3">
        <v>4657171.9859999996</v>
      </c>
      <c r="G3">
        <v>4591699.1206</v>
      </c>
      <c r="H3" s="3">
        <v>4725482.017</v>
      </c>
    </row>
    <row r="4" spans="1:19" x14ac:dyDescent="0.35">
      <c r="A4" t="s">
        <v>15</v>
      </c>
      <c r="B4" s="3" t="s">
        <v>50</v>
      </c>
      <c r="C4" t="s">
        <v>13</v>
      </c>
      <c r="D4" t="s">
        <v>16</v>
      </c>
      <c r="E4">
        <v>2019</v>
      </c>
      <c r="F4">
        <v>160641.22993</v>
      </c>
      <c r="G4">
        <v>129862.70028</v>
      </c>
      <c r="H4">
        <v>196397.48702999999</v>
      </c>
    </row>
    <row r="5" spans="1:19" x14ac:dyDescent="0.35">
      <c r="A5" t="s">
        <v>15</v>
      </c>
      <c r="B5" s="3" t="s">
        <v>50</v>
      </c>
      <c r="C5" s="3" t="s">
        <v>17</v>
      </c>
      <c r="D5" s="3" t="s">
        <v>18</v>
      </c>
      <c r="E5">
        <v>2019</v>
      </c>
      <c r="F5" s="3">
        <f>F4*0.35</f>
        <v>56224.430475499998</v>
      </c>
      <c r="H5" s="3"/>
    </row>
    <row r="6" spans="1:19" x14ac:dyDescent="0.35">
      <c r="A6" t="s">
        <v>12</v>
      </c>
      <c r="B6" s="3" t="s">
        <v>50</v>
      </c>
      <c r="C6" s="3" t="s">
        <v>19</v>
      </c>
      <c r="D6" s="3" t="s">
        <v>20</v>
      </c>
      <c r="E6" s="3">
        <v>2019</v>
      </c>
      <c r="F6">
        <v>4869693.1720000003</v>
      </c>
      <c r="G6">
        <v>3783341.8947000001</v>
      </c>
      <c r="H6" s="3">
        <v>6214884.3090000004</v>
      </c>
    </row>
    <row r="7" spans="1:19" x14ac:dyDescent="0.35">
      <c r="A7" t="s">
        <v>15</v>
      </c>
      <c r="B7" s="3" t="s">
        <v>50</v>
      </c>
      <c r="C7" t="s">
        <v>19</v>
      </c>
      <c r="D7" t="s">
        <v>21</v>
      </c>
      <c r="E7">
        <v>2019</v>
      </c>
      <c r="F7">
        <v>7787.6049860000003</v>
      </c>
      <c r="G7">
        <v>6346.2833010000004</v>
      </c>
      <c r="H7">
        <v>9679.5869889999994</v>
      </c>
    </row>
    <row r="8" spans="1:19" x14ac:dyDescent="0.35">
      <c r="A8" t="s">
        <v>12</v>
      </c>
      <c r="B8" s="3" t="s">
        <v>50</v>
      </c>
      <c r="C8" s="3" t="s">
        <v>22</v>
      </c>
      <c r="D8" s="3" t="s">
        <v>23</v>
      </c>
      <c r="E8" s="3">
        <v>2019</v>
      </c>
      <c r="F8">
        <v>3141354.9405</v>
      </c>
      <c r="G8">
        <v>2450720.7570000002</v>
      </c>
      <c r="H8">
        <v>4056540.3870999999</v>
      </c>
    </row>
    <row r="9" spans="1:19" x14ac:dyDescent="0.35">
      <c r="A9" t="s">
        <v>15</v>
      </c>
      <c r="B9" s="3" t="s">
        <v>50</v>
      </c>
      <c r="C9" t="s">
        <v>22</v>
      </c>
      <c r="D9" t="s">
        <v>24</v>
      </c>
      <c r="E9">
        <v>2019</v>
      </c>
      <c r="F9">
        <v>1267.5238239</v>
      </c>
      <c r="G9">
        <v>1016.4276485</v>
      </c>
      <c r="H9">
        <v>1577.9764806999999</v>
      </c>
    </row>
    <row r="10" spans="1:19" x14ac:dyDescent="0.35">
      <c r="A10" t="s">
        <v>12</v>
      </c>
      <c r="B10" s="3" t="s">
        <v>50</v>
      </c>
      <c r="C10" s="3" t="s">
        <v>25</v>
      </c>
      <c r="D10" s="3" t="s">
        <v>26</v>
      </c>
      <c r="E10" s="3">
        <v>2019</v>
      </c>
      <c r="F10">
        <v>7287681.6009999998</v>
      </c>
      <c r="G10">
        <v>5500743.2570000002</v>
      </c>
      <c r="H10" s="3">
        <v>9322468.9920000006</v>
      </c>
    </row>
    <row r="11" spans="1:19" x14ac:dyDescent="0.35">
      <c r="A11" t="s">
        <v>15</v>
      </c>
      <c r="B11" s="3" t="s">
        <v>50</v>
      </c>
      <c r="C11" t="s">
        <v>25</v>
      </c>
      <c r="D11" t="s">
        <v>27</v>
      </c>
      <c r="E11">
        <v>2019</v>
      </c>
      <c r="F11">
        <v>2346.2866398000001</v>
      </c>
      <c r="G11">
        <v>1830.0837875</v>
      </c>
      <c r="H11">
        <v>2950.9617609000002</v>
      </c>
    </row>
    <row r="12" spans="1:19" x14ac:dyDescent="0.35">
      <c r="A12" t="s">
        <v>12</v>
      </c>
      <c r="B12" s="3" t="s">
        <v>50</v>
      </c>
      <c r="C12" s="3" t="s">
        <v>28</v>
      </c>
      <c r="D12" s="3" t="s">
        <v>29</v>
      </c>
      <c r="E12">
        <v>2019</v>
      </c>
      <c r="F12">
        <v>51067560</v>
      </c>
      <c r="H12" s="3"/>
    </row>
    <row r="13" spans="1:19" x14ac:dyDescent="0.35">
      <c r="A13" t="s">
        <v>30</v>
      </c>
      <c r="B13" s="3" t="s">
        <v>50</v>
      </c>
      <c r="C13" s="3" t="s">
        <v>30</v>
      </c>
      <c r="D13" s="3" t="s">
        <v>31</v>
      </c>
      <c r="E13">
        <v>2020</v>
      </c>
      <c r="F13">
        <v>341665</v>
      </c>
      <c r="H13" s="3"/>
    </row>
    <row r="14" spans="1:19" x14ac:dyDescent="0.35">
      <c r="A14" t="s">
        <v>15</v>
      </c>
      <c r="B14" s="3" t="s">
        <v>50</v>
      </c>
      <c r="C14" s="3" t="s">
        <v>32</v>
      </c>
      <c r="D14" s="3" t="s">
        <v>33</v>
      </c>
      <c r="E14" s="3">
        <v>2019</v>
      </c>
      <c r="F14" s="3">
        <f>F4*0.65</f>
        <v>104416.79945450001</v>
      </c>
      <c r="H14" s="3"/>
    </row>
    <row r="15" spans="1:19" x14ac:dyDescent="0.35">
      <c r="A15" t="s">
        <v>12</v>
      </c>
      <c r="B15" s="3" t="s">
        <v>50</v>
      </c>
      <c r="C15" s="3" t="s">
        <v>34</v>
      </c>
      <c r="D15" s="3" t="s">
        <v>35</v>
      </c>
      <c r="E15" s="3">
        <v>2019</v>
      </c>
      <c r="F15">
        <v>192009.62581</v>
      </c>
      <c r="G15">
        <v>134411.87194000001</v>
      </c>
      <c r="H15" s="3">
        <v>279303.80537999998</v>
      </c>
    </row>
    <row r="16" spans="1:19" x14ac:dyDescent="0.35">
      <c r="A16" t="s">
        <v>15</v>
      </c>
      <c r="B16" s="3" t="s">
        <v>50</v>
      </c>
      <c r="C16" t="s">
        <v>34</v>
      </c>
      <c r="D16" t="s">
        <v>36</v>
      </c>
      <c r="E16">
        <v>2019</v>
      </c>
      <c r="F16">
        <v>69463.419649999996</v>
      </c>
      <c r="G16">
        <v>54995.230507</v>
      </c>
      <c r="H16">
        <v>86235.884529999996</v>
      </c>
    </row>
    <row r="17" spans="1:8" x14ac:dyDescent="0.35">
      <c r="A17" t="s">
        <v>12</v>
      </c>
      <c r="B17" s="3" t="s">
        <v>50</v>
      </c>
      <c r="C17" s="3" t="s">
        <v>37</v>
      </c>
      <c r="D17" s="3" t="s">
        <v>38</v>
      </c>
      <c r="E17" s="3">
        <v>2019</v>
      </c>
      <c r="F17">
        <v>2807922.5501999999</v>
      </c>
      <c r="G17">
        <v>1990087.7194000001</v>
      </c>
      <c r="H17" s="3">
        <v>3744435.7494000001</v>
      </c>
    </row>
    <row r="18" spans="1:8" x14ac:dyDescent="0.35">
      <c r="A18" t="s">
        <v>15</v>
      </c>
      <c r="B18" s="3" t="s">
        <v>50</v>
      </c>
      <c r="C18" t="s">
        <v>37</v>
      </c>
      <c r="D18" t="s">
        <v>39</v>
      </c>
      <c r="E18">
        <v>2019</v>
      </c>
      <c r="F18">
        <v>43538.519704999999</v>
      </c>
      <c r="G18">
        <v>34173.564824000001</v>
      </c>
      <c r="H18">
        <v>54785.661856999999</v>
      </c>
    </row>
    <row r="19" spans="1:8" x14ac:dyDescent="0.35">
      <c r="A19" t="s">
        <v>12</v>
      </c>
      <c r="B19" s="3" t="s">
        <v>50</v>
      </c>
      <c r="C19" s="3" t="s">
        <v>51</v>
      </c>
      <c r="D19" t="s">
        <v>52</v>
      </c>
      <c r="E19">
        <v>2019</v>
      </c>
      <c r="F19" s="12">
        <v>258401859</v>
      </c>
    </row>
    <row r="20" spans="1:8" x14ac:dyDescent="0.35">
      <c r="A20" t="s">
        <v>15</v>
      </c>
      <c r="B20" s="3" t="s">
        <v>50</v>
      </c>
      <c r="C20" s="3" t="s">
        <v>51</v>
      </c>
      <c r="D20" t="s">
        <v>53</v>
      </c>
      <c r="E20">
        <v>2019</v>
      </c>
      <c r="F20">
        <v>102353</v>
      </c>
    </row>
    <row r="21" spans="1:8" x14ac:dyDescent="0.35">
      <c r="A21" t="s">
        <v>12</v>
      </c>
      <c r="B21" s="3" t="s">
        <v>50</v>
      </c>
      <c r="C21" s="3" t="s">
        <v>55</v>
      </c>
      <c r="D21" t="s">
        <v>56</v>
      </c>
      <c r="E21">
        <v>2019</v>
      </c>
      <c r="F21" s="13">
        <v>4421601</v>
      </c>
    </row>
    <row r="22" spans="1:8" x14ac:dyDescent="0.35">
      <c r="A22" t="s">
        <v>15</v>
      </c>
      <c r="B22" s="3" t="s">
        <v>50</v>
      </c>
      <c r="C22" s="3" t="s">
        <v>55</v>
      </c>
      <c r="D22" t="s">
        <v>57</v>
      </c>
      <c r="E22">
        <v>2019</v>
      </c>
      <c r="F22" s="13">
        <v>6317</v>
      </c>
    </row>
    <row r="23" spans="1:8" x14ac:dyDescent="0.35">
      <c r="A23" t="s">
        <v>61</v>
      </c>
      <c r="B23" s="3" t="s">
        <v>50</v>
      </c>
      <c r="C23" s="3" t="s">
        <v>41</v>
      </c>
      <c r="D23" t="s">
        <v>62</v>
      </c>
      <c r="E23">
        <v>2019</v>
      </c>
      <c r="F23" s="10">
        <v>0.1</v>
      </c>
    </row>
    <row r="24" spans="1:8" x14ac:dyDescent="0.35">
      <c r="A24" t="s">
        <v>40</v>
      </c>
      <c r="B24" s="3" t="s">
        <v>50</v>
      </c>
      <c r="C24" t="s">
        <v>41</v>
      </c>
      <c r="D24" t="s">
        <v>42</v>
      </c>
      <c r="E24">
        <v>2019</v>
      </c>
      <c r="F24" s="14">
        <f>3098715+2523208+1220356</f>
        <v>6842279</v>
      </c>
    </row>
    <row r="25" spans="1:8" x14ac:dyDescent="0.35">
      <c r="A25" t="s">
        <v>40</v>
      </c>
      <c r="B25" s="3" t="s">
        <v>50</v>
      </c>
      <c r="C25" t="s">
        <v>43</v>
      </c>
      <c r="D25" t="s">
        <v>44</v>
      </c>
      <c r="E25">
        <v>2019</v>
      </c>
      <c r="F25" s="14">
        <f>418811+359871+124537</f>
        <v>903219</v>
      </c>
    </row>
    <row r="26" spans="1:8" x14ac:dyDescent="0.35">
      <c r="A26" t="s">
        <v>58</v>
      </c>
      <c r="B26" s="3" t="s">
        <v>50</v>
      </c>
      <c r="C26" t="s">
        <v>60</v>
      </c>
      <c r="D26" t="s">
        <v>63</v>
      </c>
      <c r="E26">
        <v>2019</v>
      </c>
      <c r="F26" s="9">
        <v>0.11</v>
      </c>
    </row>
    <row r="27" spans="1:8" x14ac:dyDescent="0.35">
      <c r="A27" t="s">
        <v>58</v>
      </c>
      <c r="B27" s="3" t="s">
        <v>50</v>
      </c>
      <c r="C27" t="s">
        <v>59</v>
      </c>
      <c r="D27" t="s">
        <v>64</v>
      </c>
      <c r="E27">
        <v>2019</v>
      </c>
      <c r="F27" s="9">
        <v>0.08</v>
      </c>
    </row>
    <row r="28" spans="1:8" x14ac:dyDescent="0.35">
      <c r="A28" t="s">
        <v>58</v>
      </c>
      <c r="B28" s="3" t="s">
        <v>50</v>
      </c>
      <c r="C28" t="s">
        <v>54</v>
      </c>
      <c r="D28" t="s">
        <v>65</v>
      </c>
      <c r="E28">
        <v>2019</v>
      </c>
      <c r="F28" s="9">
        <v>0.2</v>
      </c>
    </row>
    <row r="29" spans="1:8" x14ac:dyDescent="0.35">
      <c r="A29" t="s">
        <v>40</v>
      </c>
      <c r="B29" s="3" t="s">
        <v>50</v>
      </c>
      <c r="C29" t="s">
        <v>49</v>
      </c>
      <c r="E29">
        <v>2019</v>
      </c>
      <c r="F29" s="14">
        <f>923771+1913474+827191</f>
        <v>3664436</v>
      </c>
    </row>
    <row r="30" spans="1:8" x14ac:dyDescent="0.35">
      <c r="A30" t="s">
        <v>12</v>
      </c>
      <c r="B30" s="3" t="s">
        <v>50</v>
      </c>
      <c r="C30" t="s">
        <v>45</v>
      </c>
      <c r="E30">
        <v>2019</v>
      </c>
      <c r="F30" s="14">
        <f>37461597+83865861+31847595</f>
        <v>153175053</v>
      </c>
    </row>
    <row r="31" spans="1:8" x14ac:dyDescent="0.35">
      <c r="A31" t="s">
        <v>12</v>
      </c>
      <c r="B31" s="3" t="s">
        <v>50</v>
      </c>
      <c r="C31" t="s">
        <v>46</v>
      </c>
      <c r="E31">
        <v>2019</v>
      </c>
      <c r="F31" s="14">
        <f>12589077+13997731+29181644</f>
        <v>55768452</v>
      </c>
    </row>
    <row r="32" spans="1:8" x14ac:dyDescent="0.35">
      <c r="A32" t="s">
        <v>12</v>
      </c>
      <c r="B32" s="3" t="s">
        <v>50</v>
      </c>
      <c r="C32" t="s">
        <v>47</v>
      </c>
      <c r="E32">
        <v>2019</v>
      </c>
      <c r="F32" s="14">
        <f>840593+774844+1504572</f>
        <v>3120009</v>
      </c>
    </row>
    <row r="38" spans="12:12" x14ac:dyDescent="0.35">
      <c r="L38" s="7"/>
    </row>
    <row r="114" spans="13:13" x14ac:dyDescent="0.35">
      <c r="M114" s="7"/>
    </row>
    <row r="175" spans="14:14" x14ac:dyDescent="0.35">
      <c r="N175" s="8"/>
    </row>
    <row r="247" spans="14:14" x14ac:dyDescent="0.35">
      <c r="N247" s="8"/>
    </row>
    <row r="306" spans="14:14" x14ac:dyDescent="0.35">
      <c r="N306" s="7"/>
    </row>
  </sheetData>
  <conditionalFormatting sqref="F19">
    <cfRule type="expression" dxfId="1" priority="1">
      <formula>COUNTIF(O19:T19,"&lt;&gt;" &amp; "")&gt;0</formula>
    </cfRule>
    <cfRule type="expression" dxfId="0" priority="2">
      <formula>AND(COUNTIF(O19:T19,"&lt;&gt;" &amp; "")&gt;0,NOT(ISBLANK(F19)))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3" ma:contentTypeDescription="Create a new document." ma:contentTypeScope="" ma:versionID="a222eb7ab0cf4508cce7c7319f3c2955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daa2ef1fbb8a42edff9ae6aeec006a1a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8D65DD-B5BC-4E99-A458-D6903A3077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0C8635-ABBC-47B2-ACBF-2EF1BB8A22D4}"/>
</file>

<file path=customXml/itemProps3.xml><?xml version="1.0" encoding="utf-8"?>
<ds:datastoreItem xmlns:ds="http://schemas.openxmlformats.org/officeDocument/2006/customXml" ds:itemID="{29045005-11B9-490C-931F-917A8922DB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SSA</vt:lpstr>
      <vt:lpstr>SA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Walsh</dc:creator>
  <cp:keywords/>
  <dc:description/>
  <cp:lastModifiedBy>Tom Walsh</cp:lastModifiedBy>
  <cp:revision/>
  <dcterms:created xsi:type="dcterms:W3CDTF">2023-05-30T04:02:53Z</dcterms:created>
  <dcterms:modified xsi:type="dcterms:W3CDTF">2025-10-24T05:08:41Z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</Properties>
</file>